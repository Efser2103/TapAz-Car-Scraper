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Searches\"/>
    </mc:Choice>
  </mc:AlternateContent>
  <xr:revisionPtr revIDLastSave="0" documentId="13_ncr:1_{10201964-E64B-40E4-A872-7F7B8AE278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9" i="1" l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<sst xmlns="http://schemas.openxmlformats.org/spreadsheetml/2006/main" count="1839" uniqueCount="636">
  <si>
    <t>Ad və il</t>
  </si>
  <si>
    <t>Qiymət</t>
  </si>
  <si>
    <t>Elan linki</t>
  </si>
  <si>
    <t>Mercedes E 200, 2003 il</t>
  </si>
  <si>
    <t>13 500 ₼</t>
  </si>
  <si>
    <t>Mercedes E 420, 2006 il</t>
  </si>
  <si>
    <t>18 300 ₼</t>
  </si>
  <si>
    <t>Mercedes E 200, 1997 il</t>
  </si>
  <si>
    <t>8 800 ₼</t>
  </si>
  <si>
    <t>Mercedes C 220, 2000 il</t>
  </si>
  <si>
    <t>9 700 ₼</t>
  </si>
  <si>
    <t>Mercedes C 180, 1995 il</t>
  </si>
  <si>
    <t>6 700 ₼</t>
  </si>
  <si>
    <t>Mercedes CLK 240, 2001 il</t>
  </si>
  <si>
    <t>8 500 ₼</t>
  </si>
  <si>
    <t>Mercedes 200, 1991 il</t>
  </si>
  <si>
    <t>2 000 ₼</t>
  </si>
  <si>
    <t>Mercedes E 220, 2008 il</t>
  </si>
  <si>
    <t>14 500 ₼</t>
  </si>
  <si>
    <t>Mercedes E 220, 2001 il</t>
  </si>
  <si>
    <t>14 000 ₼</t>
  </si>
  <si>
    <t>Mercedes AMG GT, 2021 il</t>
  </si>
  <si>
    <t>188 700 ₼</t>
  </si>
  <si>
    <t>Mercedes A 160, 2004 il</t>
  </si>
  <si>
    <t>4 900 ₼</t>
  </si>
  <si>
    <t>Mercedes Sprinter 515, 2008 il</t>
  </si>
  <si>
    <t>33 400 ₼</t>
  </si>
  <si>
    <t>Mercedes Sprinter 315, 2008 il</t>
  </si>
  <si>
    <t>27 600 ₼</t>
  </si>
  <si>
    <t>Mercedes E 320, 1995 il</t>
  </si>
  <si>
    <t>6 900 ₼</t>
  </si>
  <si>
    <t>Mercedes Vito, 2008 il</t>
  </si>
  <si>
    <t>23 000 ₼</t>
  </si>
  <si>
    <t>Mercedes E 220, 2015 il</t>
  </si>
  <si>
    <t>32 500 ₼</t>
  </si>
  <si>
    <t>Mercedes CLA 250, 2018 il</t>
  </si>
  <si>
    <t>28 700 ₼</t>
  </si>
  <si>
    <t>Mercedes 190, 1991 il</t>
  </si>
  <si>
    <t>3 700 ₼</t>
  </si>
  <si>
    <t>Mercedes E 220, 2014 il</t>
  </si>
  <si>
    <t>23 500 ₼</t>
  </si>
  <si>
    <t>Mercedes E 350, 2010 il</t>
  </si>
  <si>
    <t>19 800 ₼</t>
  </si>
  <si>
    <t>Mercedes 190, 1990 il</t>
  </si>
  <si>
    <t>2 450 ₼</t>
  </si>
  <si>
    <t>Mercedes C 220, 1999 il</t>
  </si>
  <si>
    <t>11 500 ₼</t>
  </si>
  <si>
    <t>Mercedes C 240, 2000 il</t>
  </si>
  <si>
    <t>9 800 ₼</t>
  </si>
  <si>
    <t>Mercedes A 140, 1998 il</t>
  </si>
  <si>
    <t>3 000 ₼</t>
  </si>
  <si>
    <t>Mercedes C 220, 1996 il</t>
  </si>
  <si>
    <t>10 800 ₼</t>
  </si>
  <si>
    <t>Mercedes Vito, 2009 il</t>
  </si>
  <si>
    <t>21 500 ₼</t>
  </si>
  <si>
    <t>Mercedes E 220, 2007 il</t>
  </si>
  <si>
    <t>20 500 ₼</t>
  </si>
  <si>
    <t>4 400 ₼</t>
  </si>
  <si>
    <t>4 500 ₼</t>
  </si>
  <si>
    <t>Mercedes E 220, 2005 il</t>
  </si>
  <si>
    <t>15 700 ₼</t>
  </si>
  <si>
    <t>Mercedes E 200, 2008 il</t>
  </si>
  <si>
    <t>16 500 ₼</t>
  </si>
  <si>
    <t>Mercedes E 240, 1998 il</t>
  </si>
  <si>
    <t>Mercedes C 300, 2012 il</t>
  </si>
  <si>
    <t>21 800 ₼</t>
  </si>
  <si>
    <t>25 000 ₼</t>
  </si>
  <si>
    <t>Mercedes 190, 1992 il</t>
  </si>
  <si>
    <t>3 500 ₼</t>
  </si>
  <si>
    <t>19 700 ₼</t>
  </si>
  <si>
    <t>6 000 ₼</t>
  </si>
  <si>
    <t>Mercedes E 220, 2011 il</t>
  </si>
  <si>
    <t>17 000 ₼</t>
  </si>
  <si>
    <t>Mercedes Vito, 2007 il</t>
  </si>
  <si>
    <t>17 900 ₼</t>
  </si>
  <si>
    <t>Mercedes C 200, 2002 il</t>
  </si>
  <si>
    <t>8 600 ₼</t>
  </si>
  <si>
    <t>Mercedes E 220, 2000 il</t>
  </si>
  <si>
    <t>Mercedes E 240, 2000 il</t>
  </si>
  <si>
    <t>15 300 ₼</t>
  </si>
  <si>
    <t>Mercedes Vito, 2006 год</t>
  </si>
  <si>
    <t>18 500 ₼</t>
  </si>
  <si>
    <t>Mercedes E 220, 2009 il</t>
  </si>
  <si>
    <t>20 800 ₼</t>
  </si>
  <si>
    <t>Mercedes E 220, 1995 il</t>
  </si>
  <si>
    <t>Mercedes C 220, 2001 il</t>
  </si>
  <si>
    <t>13 000 ₼</t>
  </si>
  <si>
    <t>Mercedes A 190, 2000 il</t>
  </si>
  <si>
    <t>5 200 ₼</t>
  </si>
  <si>
    <t>Mercedes 230 TE, 1997 il</t>
  </si>
  <si>
    <t>10 500 ₼</t>
  </si>
  <si>
    <t>Mercedes C 230, 2000 il</t>
  </si>
  <si>
    <t>Mercedes E 230, 1995 il</t>
  </si>
  <si>
    <t>8 000 ₼</t>
  </si>
  <si>
    <t>Mercedes C 240, 1997 il</t>
  </si>
  <si>
    <t>Mercedes E 240, 2001 il</t>
  </si>
  <si>
    <t>14 900 ₼</t>
  </si>
  <si>
    <t>Mercedes S 350, 1993 il</t>
  </si>
  <si>
    <t>Mercedes B 170, 2010 il</t>
  </si>
  <si>
    <t>11 200 ₼</t>
  </si>
  <si>
    <t>Mercedes E 300, 1997 il</t>
  </si>
  <si>
    <t>5 900 ₼</t>
  </si>
  <si>
    <t>Mercedes E 230, 1990 il</t>
  </si>
  <si>
    <t>5 300 ₼</t>
  </si>
  <si>
    <t>Mercedes E 270, 2003 il</t>
  </si>
  <si>
    <t>16 000 ₼</t>
  </si>
  <si>
    <t>7 999 ₼</t>
  </si>
  <si>
    <t>Mercedes E 270, 2002 il</t>
  </si>
  <si>
    <t>12 800 ₼</t>
  </si>
  <si>
    <t>Mercedes Vito, 1997 il</t>
  </si>
  <si>
    <t>7 400 ₼</t>
  </si>
  <si>
    <t>Mercedes C 180, 2001 il</t>
  </si>
  <si>
    <t>9 200 ₼</t>
  </si>
  <si>
    <t>Mercedes E 280, 1996 il</t>
  </si>
  <si>
    <t>9 500 ₼</t>
  </si>
  <si>
    <t>Mercedes C 230, 2005 il</t>
  </si>
  <si>
    <t>11 000 ₼</t>
  </si>
  <si>
    <t>Mercedes 240 D, 1997 il</t>
  </si>
  <si>
    <t>Mercedes A 160, 2002 il</t>
  </si>
  <si>
    <t>5 400 ₼</t>
  </si>
  <si>
    <t>Mercedes E 200, 1996 il</t>
  </si>
  <si>
    <t>3 600 ₼</t>
  </si>
  <si>
    <t>9 000 ₼</t>
  </si>
  <si>
    <t>Mercedes E 220, 1998 il</t>
  </si>
  <si>
    <t>11 800 ₼</t>
  </si>
  <si>
    <t>15 000 ₼</t>
  </si>
  <si>
    <t>Mercedes C 180, 1996 il</t>
  </si>
  <si>
    <t>7 500 ₼</t>
  </si>
  <si>
    <t>Mercedes C 220, 1994 il</t>
  </si>
  <si>
    <t>7 800 ₼</t>
  </si>
  <si>
    <t>Mercedes Sprinter 315, 2007 il</t>
  </si>
  <si>
    <t>39 500 ₼</t>
  </si>
  <si>
    <t>Mercedes Vito, 2011 il</t>
  </si>
  <si>
    <t>22 999 ₼</t>
  </si>
  <si>
    <t>Mercedes 240 D, 1998 il</t>
  </si>
  <si>
    <t>Mercedes E 200, 2010 il</t>
  </si>
  <si>
    <t>Mercedes C 220, 1995 il</t>
  </si>
  <si>
    <t>7 000 ₼</t>
  </si>
  <si>
    <t>Mercedes 190, 1989 il</t>
  </si>
  <si>
    <t>5 800 ₼</t>
  </si>
  <si>
    <t>Mercedes Sprinter 315, 2012 il</t>
  </si>
  <si>
    <t>Mercedes B 180, 2010 il</t>
  </si>
  <si>
    <t>Mercedes E 320, 2004 il</t>
  </si>
  <si>
    <t>12 500 ₼</t>
  </si>
  <si>
    <t>Mercedes 200 D, 1994 il</t>
  </si>
  <si>
    <t>22 500 ₼</t>
  </si>
  <si>
    <t>Mercedes E 220, 1999 il</t>
  </si>
  <si>
    <t>Mercedes E 280, 2007 il</t>
  </si>
  <si>
    <t>Mercedes EQC 400 4MATIC, 2020 il</t>
  </si>
  <si>
    <t>60 500 ₼</t>
  </si>
  <si>
    <t>Mercedes E 300, 1994 il</t>
  </si>
  <si>
    <t>4 000 ₼</t>
  </si>
  <si>
    <t>Mercedes Sprinter 316, 2014 il</t>
  </si>
  <si>
    <t>57 300 ₼</t>
  </si>
  <si>
    <t>Mercedes S 350, 1995 il</t>
  </si>
  <si>
    <t>Mercedes C 180, 1998 il</t>
  </si>
  <si>
    <t>8 200 ₼</t>
  </si>
  <si>
    <t>Mercedes C 200, 1994 il</t>
  </si>
  <si>
    <t>6 200 ₼</t>
  </si>
  <si>
    <t>Mercedes S 350, 2010 il</t>
  </si>
  <si>
    <t>25 400 ₼</t>
  </si>
  <si>
    <t>Mercedes E 320, 2002 il</t>
  </si>
  <si>
    <t>16 900 ₼</t>
  </si>
  <si>
    <t>Mercedes C 200, 2001 il</t>
  </si>
  <si>
    <t>9 300 ₼</t>
  </si>
  <si>
    <t>Mercedes E 230, 1992 il</t>
  </si>
  <si>
    <t>6 800 ₼</t>
  </si>
  <si>
    <t>Mercedes Vito, 2005 il</t>
  </si>
  <si>
    <t>20 000 ₼</t>
  </si>
  <si>
    <t>Mercedes GL 550, 2008 il</t>
  </si>
  <si>
    <t>Mercedes C 300, 2017 il</t>
  </si>
  <si>
    <t>44 500 ₼</t>
  </si>
  <si>
    <t>Mercedes ML 320, 2001 il</t>
  </si>
  <si>
    <t>Mercedes C 200, 2000 il</t>
  </si>
  <si>
    <t>Mercedes Vario, 1998 il</t>
  </si>
  <si>
    <t>30 900 ₼</t>
  </si>
  <si>
    <t>Mercedes E 200, 2002 il</t>
  </si>
  <si>
    <t>10 900 ₼</t>
  </si>
  <si>
    <t>13 300 ₼</t>
  </si>
  <si>
    <t>Mercedes Vito, 2006 il</t>
  </si>
  <si>
    <t>15 100 ₼</t>
  </si>
  <si>
    <t>Mercedes E 220, 2006 il</t>
  </si>
  <si>
    <t>16 600 ₼</t>
  </si>
  <si>
    <t>Mercedes C 220, 2009 il</t>
  </si>
  <si>
    <t>Mercedes C 200, 1995 il</t>
  </si>
  <si>
    <t>8 400 ₼</t>
  </si>
  <si>
    <t>24 000 ₼</t>
  </si>
  <si>
    <t>7 200 ₼</t>
  </si>
  <si>
    <t>Mercedes S 350, 2003 il</t>
  </si>
  <si>
    <t>Mercedes CLS 350, 2005 il</t>
  </si>
  <si>
    <t>Mercedes C 180, 1999 il</t>
  </si>
  <si>
    <t>Mercedes E 200, 1989 il</t>
  </si>
  <si>
    <t>5 600 ₼</t>
  </si>
  <si>
    <t>Mercedes G 55 AMG, 2011 il</t>
  </si>
  <si>
    <t>69 000 ₼</t>
  </si>
  <si>
    <t>6 600 ₼</t>
  </si>
  <si>
    <t>Mercedes A 160, 2001 il</t>
  </si>
  <si>
    <t>5 000 ₼</t>
  </si>
  <si>
    <t>13 800 ₼</t>
  </si>
  <si>
    <t>8 300 ₼</t>
  </si>
  <si>
    <t>Mercedes C 180, 1997 il</t>
  </si>
  <si>
    <t>Mercedes E 200, 1993 il</t>
  </si>
  <si>
    <t>6 300 ₼</t>
  </si>
  <si>
    <t>Mercedes 200, 1992 il</t>
  </si>
  <si>
    <t>4 200 ₼</t>
  </si>
  <si>
    <t>Mercedes Vito, 1999 il</t>
  </si>
  <si>
    <t>Mercedes E 220, 2003 il</t>
  </si>
  <si>
    <t>10 000 ₼</t>
  </si>
  <si>
    <t>16 700 ₼</t>
  </si>
  <si>
    <t>Mercedes C 230, 1997 il</t>
  </si>
  <si>
    <t>10 300 ₼</t>
  </si>
  <si>
    <t>Mercedes 200 D, 1989 il</t>
  </si>
  <si>
    <t>Mercedes B 200, 2013 il</t>
  </si>
  <si>
    <t>18 000 ₼</t>
  </si>
  <si>
    <t>Mercedes C 300, 2019 il</t>
  </si>
  <si>
    <t>44 200 ₼</t>
  </si>
  <si>
    <t>Mercedes C 230, 1998 il</t>
  </si>
  <si>
    <t>8 950 ₼</t>
  </si>
  <si>
    <t>Mercedes E 320, 2001 il</t>
  </si>
  <si>
    <t>Mercedes 609 D, 1982 il</t>
  </si>
  <si>
    <t>Mercedes Vito, 2000 il</t>
  </si>
  <si>
    <t>Mercedes E 220, 1994 il</t>
  </si>
  <si>
    <t>11 900 ₼</t>
  </si>
  <si>
    <t>Mercedes C 200, 1997 il</t>
  </si>
  <si>
    <t>2 600 ₼</t>
  </si>
  <si>
    <t>Mercedes E 320, 1998 il</t>
  </si>
  <si>
    <t>15 500 ₼</t>
  </si>
  <si>
    <t>10 200 ₼</t>
  </si>
  <si>
    <t>Mercedes C 240, 1999 il</t>
  </si>
  <si>
    <t>4 300 ₼</t>
  </si>
  <si>
    <t>Mercedes C 250, 1995 il</t>
  </si>
  <si>
    <t>Mercedes 200, 1993 il</t>
  </si>
  <si>
    <t>Mercedes C 230, 1999 il</t>
  </si>
  <si>
    <t>12 700 ₼</t>
  </si>
  <si>
    <t>14 850 ₼</t>
  </si>
  <si>
    <t>Mercedes E 240, 1999 il</t>
  </si>
  <si>
    <t>Mercedes Vito, 2017 il</t>
  </si>
  <si>
    <t>52 000 ₼</t>
  </si>
  <si>
    <t>Mercedes E 250, 1992 il</t>
  </si>
  <si>
    <t>3 800 ₼</t>
  </si>
  <si>
    <t>Mercedes C 180, 1994 il</t>
  </si>
  <si>
    <t>7 600 ₼</t>
  </si>
  <si>
    <t>Mercedes 250 D, 1996 il</t>
  </si>
  <si>
    <t>Mercedes 200 CE, 2001 il</t>
  </si>
  <si>
    <t>9 900 ₼</t>
  </si>
  <si>
    <t>Mercedes E 220, 1992 il</t>
  </si>
  <si>
    <t>Mercedes E 250, 2009 il</t>
  </si>
  <si>
    <t>16 800 ₼</t>
  </si>
  <si>
    <t>Mercedes C 180, 1993 il</t>
  </si>
  <si>
    <t>3 386 ₼</t>
  </si>
  <si>
    <t>Mercedes E 200, 1994 il</t>
  </si>
  <si>
    <t>Mercedes C 200, 1996 il</t>
  </si>
  <si>
    <t>Mercedes Vito, 2018 il</t>
  </si>
  <si>
    <t>45 500 ₼</t>
  </si>
  <si>
    <t>13 600 ₼</t>
  </si>
  <si>
    <t>Mercedes GLK 250, 2015 il</t>
  </si>
  <si>
    <t>27 500 ₼</t>
  </si>
  <si>
    <t>Mercedes ML 270, 2003 il</t>
  </si>
  <si>
    <t>12 000 ₼</t>
  </si>
  <si>
    <t>7 900 ₼</t>
  </si>
  <si>
    <t>Mercedes C 200, 1999 il</t>
  </si>
  <si>
    <t>11 700 ₼</t>
  </si>
  <si>
    <t>Mercedes EQS 580 4MATIC, 2022 il</t>
  </si>
  <si>
    <t>105 000 ₼</t>
  </si>
  <si>
    <t>19 500 ₼</t>
  </si>
  <si>
    <t>Mercedes S 280, 1994 il</t>
  </si>
  <si>
    <t>Mercedes A 170, 2005 il</t>
  </si>
  <si>
    <t>6 500 ₼</t>
  </si>
  <si>
    <t>Mercedes E 200, 1990 il</t>
  </si>
  <si>
    <t>3 111 ₼</t>
  </si>
  <si>
    <t>Mercedes C 200, 1998 il</t>
  </si>
  <si>
    <t>Mercedes 220 S, 1994 il</t>
  </si>
  <si>
    <t>13 700 ₼</t>
  </si>
  <si>
    <t>4 100 ₼</t>
  </si>
  <si>
    <t>Mercedes Vito 115, 2007 il</t>
  </si>
  <si>
    <t>19 000 ₼</t>
  </si>
  <si>
    <t>Mercedes E 240, 1996 il</t>
  </si>
  <si>
    <t>11 300 ₼</t>
  </si>
  <si>
    <t>4 850 ₼</t>
  </si>
  <si>
    <t>Mercedes E 260, 1988 il</t>
  </si>
  <si>
    <t>2 500 ₼</t>
  </si>
  <si>
    <t>3 900 ₼</t>
  </si>
  <si>
    <t>Mercedes Vito, 2010 il</t>
  </si>
  <si>
    <t>23 700 ₼</t>
  </si>
  <si>
    <t>8 700 ₼</t>
  </si>
  <si>
    <t>53 999 ₼</t>
  </si>
  <si>
    <t>Mercedes E 200, 2000 il</t>
  </si>
  <si>
    <t>7 100 ₼</t>
  </si>
  <si>
    <t>22 700 ₼</t>
  </si>
  <si>
    <t>8 900 ₼</t>
  </si>
  <si>
    <t>Mercedes 200, 1996 il</t>
  </si>
  <si>
    <t>Mercedes E 280, 2000 il</t>
  </si>
  <si>
    <t>Mercedes E 240, 1997 il</t>
  </si>
  <si>
    <t>Mercedes E 200, 2006 il</t>
  </si>
  <si>
    <t>Mercedes 230 CE, 1993 il</t>
  </si>
  <si>
    <t>5 700 ₼</t>
  </si>
  <si>
    <t>Mercedes B 170, 2006 il</t>
  </si>
  <si>
    <t>Mercedes 230, 1992 il</t>
  </si>
  <si>
    <t>3 200 ₼</t>
  </si>
  <si>
    <t>Mercedes B 170, 2009 il</t>
  </si>
  <si>
    <t>11 400 ₼</t>
  </si>
  <si>
    <t>Mercedes C 280, 1997 il</t>
  </si>
  <si>
    <t>Mercedes Sprinter 313, 2016 il</t>
  </si>
  <si>
    <t>35 500 ₼</t>
  </si>
  <si>
    <t>12 200 ₼</t>
  </si>
  <si>
    <t>Mercedes GL 350, 2012 il</t>
  </si>
  <si>
    <t>37 900 ₼</t>
  </si>
  <si>
    <t>Mercedes E 240, 2003 il</t>
  </si>
  <si>
    <t>Mercedes E 270, 2000 il</t>
  </si>
  <si>
    <t>Mercedes 200, 1995 il</t>
  </si>
  <si>
    <t>8 100 ₼</t>
  </si>
  <si>
    <t>Mercedes C 220, 1998 il</t>
  </si>
  <si>
    <t>Mercedes E 260, 2001 il</t>
  </si>
  <si>
    <t>Mercedes E 220, 1989 il</t>
  </si>
  <si>
    <t>5 500 ₼</t>
  </si>
  <si>
    <t>Mercedes Vito 115, 2012 il</t>
  </si>
  <si>
    <t>Mercedes 220 CE, 2002 il</t>
  </si>
  <si>
    <t>17 600 ₼</t>
  </si>
  <si>
    <t>13 200 ₼</t>
  </si>
  <si>
    <t>Mercedes E 240, 2002 il</t>
  </si>
  <si>
    <t>Mercedes 200, 1990 il</t>
  </si>
  <si>
    <t>Mercedes Vaneo, 2002 il</t>
  </si>
  <si>
    <t>Mercedes E 280, 1998 il</t>
  </si>
  <si>
    <t>Mercedes C 250, 2011 il</t>
  </si>
  <si>
    <t>Mercedes E 220, 2010 il</t>
  </si>
  <si>
    <t>Mercedes E 320, 1999 il</t>
  </si>
  <si>
    <t>Mercedes Sprinter 316, 2013 il</t>
  </si>
  <si>
    <t>53 000 ₼</t>
  </si>
  <si>
    <t>Mercedes E 350, 2011 il</t>
  </si>
  <si>
    <t>25 700 ₼</t>
  </si>
  <si>
    <t>Mercedes 200, 1998 il</t>
  </si>
  <si>
    <t>Mercedes C 240, 1998 il</t>
  </si>
  <si>
    <t>10 700 ₼</t>
  </si>
  <si>
    <t>Mercedes E 230, 1997 il</t>
  </si>
  <si>
    <t>41 500 ₼</t>
  </si>
  <si>
    <t>Mercedes E 270, 2004 il</t>
  </si>
  <si>
    <t>16 300 ₼</t>
  </si>
  <si>
    <t>Mercedes ML 320, 2000 il</t>
  </si>
  <si>
    <t>17 500 ₼</t>
  </si>
  <si>
    <t>Mercedes 200 D, 2016 il</t>
  </si>
  <si>
    <t>30 500 ₼</t>
  </si>
  <si>
    <t>Mercedes 200 D, 1995 il</t>
  </si>
  <si>
    <t>200 ₼</t>
  </si>
  <si>
    <t>1 500 ₼</t>
  </si>
  <si>
    <t>Mercedes E 230, 1996 il</t>
  </si>
  <si>
    <t>Mercedes 220 CE, 1998 il</t>
  </si>
  <si>
    <t>Mercedes 200, 2001 il</t>
  </si>
  <si>
    <t>Mercedes GL 500, 2006 il</t>
  </si>
  <si>
    <t>Mercedes 190, 1993 il</t>
  </si>
  <si>
    <t>Mercedes E 200, 1991 il</t>
  </si>
  <si>
    <t>26 500 ₼</t>
  </si>
  <si>
    <t>Mercedes Vito, 2004 il</t>
  </si>
  <si>
    <t>14 300 ₼</t>
  </si>
  <si>
    <t>Mercedes 230, 1996 il</t>
  </si>
  <si>
    <t>Mercedes W123, 1993 il</t>
  </si>
  <si>
    <t>Mercedes E 220, 2002 il</t>
  </si>
  <si>
    <t>Mercedes 230, 1997 il</t>
  </si>
  <si>
    <t>Mercedes C 30 AMG, 2015 il</t>
  </si>
  <si>
    <t>36 000 ₼</t>
  </si>
  <si>
    <t>Mercedes E 200, 2004 il</t>
  </si>
  <si>
    <t>Mercedes S 350, 2007 il</t>
  </si>
  <si>
    <t>30 000 ₼</t>
  </si>
  <si>
    <t>Mercedes Citan, 2016 il</t>
  </si>
  <si>
    <t>Mercedes E 220, 2016 il</t>
  </si>
  <si>
    <t>37 000 ₼</t>
  </si>
  <si>
    <t>Mercedes E 200, 2011 il</t>
  </si>
  <si>
    <t>Mercedes S 320, 2001 il</t>
  </si>
  <si>
    <t>Mercedes 200 CE, 2008 il</t>
  </si>
  <si>
    <t>Mercedes Vito, 2012 il</t>
  </si>
  <si>
    <t>21 000 ₼</t>
  </si>
  <si>
    <t>Mercedes C 220, 1993 il</t>
  </si>
  <si>
    <t>18 900 ₼</t>
  </si>
  <si>
    <t>Mercedes Vito, 1998 il</t>
  </si>
  <si>
    <t>28 000 ₼</t>
  </si>
  <si>
    <t>33 200 ₼</t>
  </si>
  <si>
    <t>Mercedes W180, 1998 il</t>
  </si>
  <si>
    <t>Mercedes 250 D, 1992 il</t>
  </si>
  <si>
    <t>4 600 ₼</t>
  </si>
  <si>
    <t>Mercedes E 240, 2004 il</t>
  </si>
  <si>
    <t>Mercedes E 230, 1989 il</t>
  </si>
  <si>
    <t>Mercedes CLA 250, 2014 il</t>
  </si>
  <si>
    <t>26 900 ₼</t>
  </si>
  <si>
    <t>Mercedes C 43 AMG, 2000 il</t>
  </si>
  <si>
    <t>Mercedes E 200, 2017 il</t>
  </si>
  <si>
    <t>47 000 ₼</t>
  </si>
  <si>
    <t>Mercedes 200 D, 1990 il</t>
  </si>
  <si>
    <t>Mercedes S 320, 1997 il</t>
  </si>
  <si>
    <t>2 900 ₼</t>
  </si>
  <si>
    <t>Mercedes 250, 2014 il</t>
  </si>
  <si>
    <t>Mercedes A 160, 2003 il</t>
  </si>
  <si>
    <t>Mercedes E 250, 2015 il</t>
  </si>
  <si>
    <t>31 000 ₼</t>
  </si>
  <si>
    <t>Mercedes E 270, 1999 il</t>
  </si>
  <si>
    <t>24 500 ₼</t>
  </si>
  <si>
    <t>Mercedes Sprinter 316, 2010 il</t>
  </si>
  <si>
    <t>Mercedes Sprinter 316, 2011 il</t>
  </si>
  <si>
    <t>49 500 ₼</t>
  </si>
  <si>
    <t>Mercedes E 220, 1993 il</t>
  </si>
  <si>
    <t>Mercedes Viano, 2010 il</t>
  </si>
  <si>
    <t>Mercedes E 220, 2017 il</t>
  </si>
  <si>
    <t>40 000 ₼</t>
  </si>
  <si>
    <t>5 950 ₼</t>
  </si>
  <si>
    <t>12 499 ₼</t>
  </si>
  <si>
    <t>Mercedes 250 D, 1991 il</t>
  </si>
  <si>
    <t>Mercedes 280 SEL, 1997 il</t>
  </si>
  <si>
    <t>Mercedes S 320, 2000 il</t>
  </si>
  <si>
    <t>Mercedes A 170, 2010 il</t>
  </si>
  <si>
    <t>14 800 ₼</t>
  </si>
  <si>
    <t>Mercedes E 200, 1999 il</t>
  </si>
  <si>
    <t>Mercedes 220 (W187), 2000 il</t>
  </si>
  <si>
    <t>Mercedes 300 E 4MATIC, 2017 il</t>
  </si>
  <si>
    <t>43 900 ₼</t>
  </si>
  <si>
    <t>Mercedes E 200, 2005 il</t>
  </si>
  <si>
    <t>Mercedes E 200, 1988 il</t>
  </si>
  <si>
    <t>3 300 ₼</t>
  </si>
  <si>
    <t>22 000 ₼</t>
  </si>
  <si>
    <t>Mercedes CLA 200, 1996 il</t>
  </si>
  <si>
    <t>7 700 ₼</t>
  </si>
  <si>
    <t>Mercedes ML 350, 2006 il</t>
  </si>
  <si>
    <t>Mercedes Vaneo, 2003 il</t>
  </si>
  <si>
    <t>7 350 ₼</t>
  </si>
  <si>
    <t>5 499 ₼</t>
  </si>
  <si>
    <t>15 800 ₼</t>
  </si>
  <si>
    <t>1 100 ₼</t>
  </si>
  <si>
    <t>26 000 ₼</t>
  </si>
  <si>
    <t>12 400 ₼</t>
  </si>
  <si>
    <t>Mercedes W180, 1994 il</t>
  </si>
  <si>
    <t>Mercedes Sprinter 516, 2012 il</t>
  </si>
  <si>
    <t>48 400 ₼</t>
  </si>
  <si>
    <t>3 750 ₼</t>
  </si>
  <si>
    <t>460 ₼</t>
  </si>
  <si>
    <t>10 600 ₼</t>
  </si>
  <si>
    <t>16 200 ₼</t>
  </si>
  <si>
    <t>4 800 ₼</t>
  </si>
  <si>
    <t>Mercedes C 220, 2017 il</t>
  </si>
  <si>
    <t>29 500 ₼</t>
  </si>
  <si>
    <t>Mercedes GLA 250, 2018 il</t>
  </si>
  <si>
    <t>38 000 ₼</t>
  </si>
  <si>
    <t>4 450 ₼</t>
  </si>
  <si>
    <t>Mercedes Sprinter 313, 2009 il</t>
  </si>
  <si>
    <t>Mercedes E 300, 2010 il</t>
  </si>
  <si>
    <t>25 500 ₼</t>
  </si>
  <si>
    <t>Mercedes C 300, 2008 il</t>
  </si>
  <si>
    <t>Mercedes 230, 1985 il</t>
  </si>
  <si>
    <t>Mercedes Viano, 2000 il</t>
  </si>
  <si>
    <t>9 400 ₼</t>
  </si>
  <si>
    <t>21 700 ₼</t>
  </si>
  <si>
    <t>Mercedes 230, 1998 il</t>
  </si>
  <si>
    <t>3 400 ₼</t>
  </si>
  <si>
    <t>Mercedes S 300, 1996 il</t>
  </si>
  <si>
    <t>Mercedes 280 SE, 2000 il</t>
  </si>
  <si>
    <t>Mercedes E 270, 2001 il</t>
  </si>
  <si>
    <t>14 450 ₼</t>
  </si>
  <si>
    <t>Mercedes 208 D, 1993 il</t>
  </si>
  <si>
    <t>Mercedes S 320, 1998 il</t>
  </si>
  <si>
    <t>Mercedes 190, 1987 il</t>
  </si>
  <si>
    <t>Mercedes E 250, 1998 il</t>
  </si>
  <si>
    <t>Mercedes C 180, 2006 il</t>
  </si>
  <si>
    <t>9 600 ₼</t>
  </si>
  <si>
    <t>12 900 ₼</t>
  </si>
  <si>
    <t>Mercedes E 250, 2008 il</t>
  </si>
  <si>
    <t>13 900 ₼</t>
  </si>
  <si>
    <t>Mercedes E 270, 2005 il</t>
  </si>
  <si>
    <t>Mercedes C 200, 2005 il</t>
  </si>
  <si>
    <t>Mercedes Sprinter 312, 1997 il</t>
  </si>
  <si>
    <t>Mercedes GLK 220, 1997 il</t>
  </si>
  <si>
    <t>Mercedes C 300, 2016 il</t>
  </si>
  <si>
    <t>31 800 ₼</t>
  </si>
  <si>
    <t>Mercedes E 350, 2007 il</t>
  </si>
  <si>
    <t>Mercedes C 270, 2001 il</t>
  </si>
  <si>
    <t>Mercedes Vito 115, 2008 il</t>
  </si>
  <si>
    <t>Mercedes S 500, 2006 il</t>
  </si>
  <si>
    <t>Mercedes C 280, 1995 il</t>
  </si>
  <si>
    <t>Mercedes E 320, 1993 il</t>
  </si>
  <si>
    <t>5 555 ₼</t>
  </si>
  <si>
    <t>28 900 ₼</t>
  </si>
  <si>
    <t>Mercedes E 320, 2000 il</t>
  </si>
  <si>
    <t>Mercedes W128, 2001 il</t>
  </si>
  <si>
    <t>Mercedes E 200, 2012 il</t>
  </si>
  <si>
    <t>22 900 ₼</t>
  </si>
  <si>
    <t>Mercedes CLS 300 4MATIC, 2006 il</t>
  </si>
  <si>
    <t>Mercedes ML 350, 2008 il</t>
  </si>
  <si>
    <t>Mercedes GLB 200, 2020 il</t>
  </si>
  <si>
    <t>58 000 ₼</t>
  </si>
  <si>
    <t>54 000 ₼</t>
  </si>
  <si>
    <t>Mercedes E 260, 2002 il</t>
  </si>
  <si>
    <t>15 900 ₼</t>
  </si>
  <si>
    <t>Mercedes C 240, 2003 il</t>
  </si>
  <si>
    <t>Mercedes 220 CE, 1999 il</t>
  </si>
  <si>
    <t>16 100 ₼</t>
  </si>
  <si>
    <t>Mercedes E 250, 1994 il</t>
  </si>
  <si>
    <t>Mercedes S 550, 2008 il</t>
  </si>
  <si>
    <t>33 500 ₼</t>
  </si>
  <si>
    <t>Mercedes E 300, 2018 il</t>
  </si>
  <si>
    <t>41 000 ₼</t>
  </si>
  <si>
    <t>Mercedes 200, 1999 il</t>
  </si>
  <si>
    <t>Mercedes E 350, 2008 il</t>
  </si>
  <si>
    <t>Mercedes Vito, 2001 il</t>
  </si>
  <si>
    <t>Mercedes Sprinter 309, 2012 il</t>
  </si>
  <si>
    <t>Mercedes S 350, 2004 il</t>
  </si>
  <si>
    <t>Mercedes E 280, 1999 il</t>
  </si>
  <si>
    <t>Mercedes GL 550, 2009 il</t>
  </si>
  <si>
    <t>Mercedes 320 CE, 2002 il</t>
  </si>
  <si>
    <t>14 600 ₼</t>
  </si>
  <si>
    <t>34 000 ₼</t>
  </si>
  <si>
    <t>9 090 ₼</t>
  </si>
  <si>
    <t>Mercedes ML 320, 1998 il</t>
  </si>
  <si>
    <t>Mercedes Vito, 2016 il</t>
  </si>
  <si>
    <t>41 600 ₼</t>
  </si>
  <si>
    <t>16 400 ₼</t>
  </si>
  <si>
    <t>Mercedes 350 SD, 2021 il</t>
  </si>
  <si>
    <t>148 000 ₼</t>
  </si>
  <si>
    <t>21 999 ₼</t>
  </si>
  <si>
    <t>15 200 ₼</t>
  </si>
  <si>
    <t>Mercedes ML 350, 2005 il</t>
  </si>
  <si>
    <t>Mercedes E 250, 1990 il</t>
  </si>
  <si>
    <t>Mercedes C 180, 2000 il</t>
  </si>
  <si>
    <t>Mercedes 210 D, 1998 il</t>
  </si>
  <si>
    <t>Mercedes C 240, 2004 il</t>
  </si>
  <si>
    <t>Mercedes E 300, 2017 il</t>
  </si>
  <si>
    <t>39 000 ₼</t>
  </si>
  <si>
    <t>Mercedes E 500, 2004 il</t>
  </si>
  <si>
    <t>Mercedes GL 450, 2008 il</t>
  </si>
  <si>
    <t>Mercedes E 200, 2007 il</t>
  </si>
  <si>
    <t>23 200 ₼</t>
  </si>
  <si>
    <t>Mercedes E 200, 1998 il</t>
  </si>
  <si>
    <t>12 300 ₼</t>
  </si>
  <si>
    <t>Mercedes ML 320, 2002 il</t>
  </si>
  <si>
    <t>Mercedes E 230, 1988 il</t>
  </si>
  <si>
    <t>3 100 ₼</t>
  </si>
  <si>
    <t>Mercedes S 350, 2008 il</t>
  </si>
  <si>
    <t>Mercedes G 270, 2005 il</t>
  </si>
  <si>
    <t>62 500 ₼</t>
  </si>
  <si>
    <t>Mercedes ML 320, 1999 il</t>
  </si>
  <si>
    <t>8 750 ₼</t>
  </si>
  <si>
    <t>Mercedes S 500, 2008 il</t>
  </si>
  <si>
    <t>32 000 ₼</t>
  </si>
  <si>
    <t>6 950 ₼</t>
  </si>
  <si>
    <t>Mercedes E 280, 1993 год</t>
  </si>
  <si>
    <t>21 400 ₼</t>
  </si>
  <si>
    <t>Mercedes CLK 200, 2001 il</t>
  </si>
  <si>
    <t>Mercedes 300 D, 1994 il</t>
  </si>
  <si>
    <t>7 300 ₼</t>
  </si>
  <si>
    <t>Mercedes Viano, 2012 il</t>
  </si>
  <si>
    <t>31 500 ₼</t>
  </si>
  <si>
    <t>Mercedes CLK 230, 1998 il</t>
  </si>
  <si>
    <t>4 350 ₼</t>
  </si>
  <si>
    <t>29 000 ₼</t>
  </si>
  <si>
    <t>Mercedes 280 SE, 1995 il</t>
  </si>
  <si>
    <t>Mercedes 190, 1988 il</t>
  </si>
  <si>
    <t>Mercedes SLK 200, 2006 il</t>
  </si>
  <si>
    <t>17 400 ₼</t>
  </si>
  <si>
    <t>Mercedes E 250, 1995 il</t>
  </si>
  <si>
    <t>47 900 ₼</t>
  </si>
  <si>
    <t>Mercedes 220 CE, 2001 il</t>
  </si>
  <si>
    <t>Mercedes 230 TE, 2000 il</t>
  </si>
  <si>
    <t>Mercedes S 600, 1997 il</t>
  </si>
  <si>
    <t>42 000 ₼</t>
  </si>
  <si>
    <t>Mercedes ML 320, 2008 il</t>
  </si>
  <si>
    <t>4 700 ₼</t>
  </si>
  <si>
    <t>Mercedes CLS 55 AMG, 2005 il</t>
  </si>
  <si>
    <t>25 555 ₼</t>
  </si>
  <si>
    <t>Mercedes EQB 300 4 MATIC, 2023 il</t>
  </si>
  <si>
    <t>67 000 ₼</t>
  </si>
  <si>
    <t>Mercedes S 350, 2005 il</t>
  </si>
  <si>
    <t>Mercedes C 250, 2012 il</t>
  </si>
  <si>
    <t>20 400 ₼</t>
  </si>
  <si>
    <t>18 100 ₼</t>
  </si>
  <si>
    <t>Mercedes E 220, 2013 il</t>
  </si>
  <si>
    <t>Mercedes E 220, 1991 il</t>
  </si>
  <si>
    <t>Mercedes E 220, 2004 il</t>
  </si>
  <si>
    <t>Mercedes E 320, 2003 il</t>
  </si>
  <si>
    <t>Mercedes C 180, 1992 il</t>
  </si>
  <si>
    <t>2 800 ₼</t>
  </si>
  <si>
    <t>28 200 ₼</t>
  </si>
  <si>
    <t>Mercedes E 280, 2008 il</t>
  </si>
  <si>
    <t>18 800 ₼</t>
  </si>
  <si>
    <t>Mercedes W123, 1990 il</t>
  </si>
  <si>
    <t>9 250 ₼</t>
  </si>
  <si>
    <t>Mercedes E 220, 2018 il</t>
  </si>
  <si>
    <t>48 500 ₼</t>
  </si>
  <si>
    <t>Mercedes C 200, 1993 il</t>
  </si>
  <si>
    <t>Mercedes ML 350, 2002 il</t>
  </si>
  <si>
    <t>Mercedes 208 D, 1994 il</t>
  </si>
  <si>
    <t>10 250 ₼</t>
  </si>
  <si>
    <t>Mercedes W120, 1999 il</t>
  </si>
  <si>
    <t>Mercedes E 220, 1997 il</t>
  </si>
  <si>
    <t>Mercedes 250, 1995 il</t>
  </si>
  <si>
    <t>Mercedes 220 TE, 2001 il</t>
  </si>
  <si>
    <t>Mercedes 200 D, 2018 il</t>
  </si>
  <si>
    <t>Mercedes 250 D, 1994 il</t>
  </si>
  <si>
    <t>Mercedes 240 D, 2001 il</t>
  </si>
  <si>
    <t>Mercedes E 270, 1997 il</t>
  </si>
  <si>
    <t>Mercedes E 200, 1992 il</t>
  </si>
  <si>
    <t>7 280 ₼</t>
  </si>
  <si>
    <t>6 100 ₼</t>
  </si>
  <si>
    <t>Mercedes E 230, 1993 il</t>
  </si>
  <si>
    <t>Mercedes S 300, 1998 il</t>
  </si>
  <si>
    <t>Mercedes C 250, 1998 il</t>
  </si>
  <si>
    <t>Mercedes 250 TD, 1991 il</t>
  </si>
  <si>
    <t>5 100 ₼</t>
  </si>
  <si>
    <t>26 800 ₼</t>
  </si>
  <si>
    <t>Mercedes 190, 1999 il</t>
  </si>
  <si>
    <t>Mercedes GL 350, 2015 il</t>
  </si>
  <si>
    <t>56 600 ₼</t>
  </si>
  <si>
    <t>Mercedes 220 CE, 1994 il</t>
  </si>
  <si>
    <t>Mercedes 320 CE, 1995 il</t>
  </si>
  <si>
    <t>12 100 ₼</t>
  </si>
  <si>
    <t>Mercedes S 55 AMG, 2004 il</t>
  </si>
  <si>
    <t>Mercedes 500 SEL, 1989 il</t>
  </si>
  <si>
    <t>35 000 ₼</t>
  </si>
  <si>
    <t>Mercedes C 220, 1997 il</t>
  </si>
  <si>
    <t>Mercedes C 280, 2007 il</t>
  </si>
  <si>
    <t>5 999 ₼</t>
  </si>
  <si>
    <t>Mercedes C 260 L, 2000 il</t>
  </si>
  <si>
    <t>Mercedes C 250, 1997 il</t>
  </si>
  <si>
    <t>Mercedes C 240, 2001 il</t>
  </si>
  <si>
    <t>21 200 ₼</t>
  </si>
  <si>
    <t>Mercedes 230, 1999 il</t>
  </si>
  <si>
    <t>Mercedes Viano, 2011 il</t>
  </si>
  <si>
    <t>34 800 ₼</t>
  </si>
  <si>
    <t>Mercedes C 230, 1996 il</t>
  </si>
  <si>
    <t>Mercedes R 350, 2006 il</t>
  </si>
  <si>
    <t>Mercedes E 280, 1993 il</t>
  </si>
  <si>
    <t>Mercedes GL 500, 2007 il</t>
  </si>
  <si>
    <t>Mercedes CL 200, 2003 il</t>
  </si>
  <si>
    <t>Mercedes Viano, 2013 il</t>
  </si>
  <si>
    <t>Mercedes Vito, 2013 il</t>
  </si>
  <si>
    <t>Mercedes 208 D, 1992 il</t>
  </si>
  <si>
    <t>Mercedes C 220, 2012 il</t>
  </si>
  <si>
    <t>Mercedes E 300, 1991 il</t>
  </si>
  <si>
    <t>Mercedes E 350, 2005 il</t>
  </si>
  <si>
    <t>Mercedes E 300, 2012 il</t>
  </si>
  <si>
    <t>27 400 ₼</t>
  </si>
  <si>
    <t>Mercedes Vito, 2002 il</t>
  </si>
  <si>
    <t>Mercedes E 230, 1987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</si>
</sst>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9"/>
  <sheetViews>
    <sheetView tabSelected="1" topLeftCell="A424" workbookViewId="0">
      <selection activeCell="C277" sqref="C27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tr">
        <f>HYPERLINK("https://tap.az/elanlar/neqliyyat/avtomobiller/48020232", "Linke kec")</f>
        <v>Linke kec</v>
      </c>
    </row>
    <row r="3" spans="1:3" x14ac:dyDescent="0.3">
      <c r="A3" t="s">
        <v>5</v>
      </c>
      <c r="B3" t="s">
        <v>6</v>
      </c>
      <c r="C3" t="str">
        <f>HYPERLINK("https://tap.az/elanlar/neqliyyat/avtomobiller/48582977", "Linke kec")</f>
        <v>Linke kec</v>
      </c>
    </row>
    <row r="4" spans="1:3" x14ac:dyDescent="0.3">
      <c r="A4" t="s">
        <v>7</v>
      </c>
      <c r="B4" t="s">
        <v>8</v>
      </c>
      <c r="C4" t="str">
        <f>HYPERLINK("https://tap.az/elanlar/neqliyyat/avtomobiller/48599245", "Linke kec")</f>
        <v>Linke kec</v>
      </c>
    </row>
    <row r="5" spans="1:3" x14ac:dyDescent="0.3">
      <c r="A5" t="s">
        <v>9</v>
      </c>
      <c r="B5" t="s">
        <v>10</v>
      </c>
      <c r="C5" t="str">
        <f>HYPERLINK("https://tap.az/elanlar/neqliyyat/avtomobiller/48585861", "Linke kec")</f>
        <v>Linke kec</v>
      </c>
    </row>
    <row r="6" spans="1:3" x14ac:dyDescent="0.3">
      <c r="A6" t="s">
        <v>11</v>
      </c>
      <c r="B6" t="s">
        <v>12</v>
      </c>
      <c r="C6" t="str">
        <f>HYPERLINK("https://tap.az/elanlar/neqliyyat/avtomobiller/48325497", "Linke kec")</f>
        <v>Linke kec</v>
      </c>
    </row>
    <row r="7" spans="1:3" x14ac:dyDescent="0.3">
      <c r="A7" t="s">
        <v>13</v>
      </c>
      <c r="B7" t="s">
        <v>14</v>
      </c>
      <c r="C7" t="str">
        <f>HYPERLINK("https://tap.az/elanlar/neqliyyat/avtomobiller/48611798", "Linke kec")</f>
        <v>Linke kec</v>
      </c>
    </row>
    <row r="8" spans="1:3" x14ac:dyDescent="0.3">
      <c r="A8" t="s">
        <v>15</v>
      </c>
      <c r="B8" t="s">
        <v>16</v>
      </c>
      <c r="C8" t="str">
        <f>HYPERLINK("https://tap.az/elanlar/neqliyyat/avtomobiller/48477860", "Linke kec")</f>
        <v>Linke kec</v>
      </c>
    </row>
    <row r="9" spans="1:3" x14ac:dyDescent="0.3">
      <c r="A9" t="s">
        <v>17</v>
      </c>
      <c r="B9" t="s">
        <v>18</v>
      </c>
      <c r="C9" t="str">
        <f>HYPERLINK("https://tap.az/elanlar/neqliyyat/avtomobiller/48621360", "Linke kec")</f>
        <v>Linke kec</v>
      </c>
    </row>
    <row r="10" spans="1:3" x14ac:dyDescent="0.3">
      <c r="A10" t="s">
        <v>19</v>
      </c>
      <c r="B10" t="s">
        <v>20</v>
      </c>
      <c r="C10" t="str">
        <f>HYPERLINK("https://tap.az/elanlar/neqliyyat/avtomobiller/48621325", "Linke kec")</f>
        <v>Linke kec</v>
      </c>
    </row>
    <row r="11" spans="1:3" x14ac:dyDescent="0.3">
      <c r="A11" t="s">
        <v>21</v>
      </c>
      <c r="B11" t="s">
        <v>22</v>
      </c>
      <c r="C11" t="str">
        <f>HYPERLINK("https://tap.az/elanlar/neqliyyat/avtomobiller/47689555", "Linke kec")</f>
        <v>Linke kec</v>
      </c>
    </row>
    <row r="12" spans="1:3" x14ac:dyDescent="0.3">
      <c r="A12" t="s">
        <v>23</v>
      </c>
      <c r="B12" t="s">
        <v>24</v>
      </c>
      <c r="C12" t="str">
        <f>HYPERLINK("https://tap.az/elanlar/neqliyyat/avtomobiller/47233370", "Linke kec")</f>
        <v>Linke kec</v>
      </c>
    </row>
    <row r="13" spans="1:3" x14ac:dyDescent="0.3">
      <c r="A13" t="s">
        <v>25</v>
      </c>
      <c r="B13" t="s">
        <v>26</v>
      </c>
      <c r="C13" t="str">
        <f>HYPERLINK("https://tap.az/elanlar/neqliyyat/avtomobiller/48614133", "Linke kec")</f>
        <v>Linke kec</v>
      </c>
    </row>
    <row r="14" spans="1:3" x14ac:dyDescent="0.3">
      <c r="A14" t="s">
        <v>27</v>
      </c>
      <c r="B14" t="s">
        <v>28</v>
      </c>
      <c r="C14" t="str">
        <f>HYPERLINK("https://tap.az/elanlar/neqliyyat/avtomobiller/48620990", "Linke kec")</f>
        <v>Linke kec</v>
      </c>
    </row>
    <row r="15" spans="1:3" x14ac:dyDescent="0.3">
      <c r="A15" t="s">
        <v>29</v>
      </c>
      <c r="B15" t="s">
        <v>30</v>
      </c>
      <c r="C15" t="str">
        <f>HYPERLINK("https://tap.az/elanlar/neqliyyat/avtomobiller/48620798", "Linke kec")</f>
        <v>Linke kec</v>
      </c>
    </row>
    <row r="16" spans="1:3" x14ac:dyDescent="0.3">
      <c r="A16" t="s">
        <v>31</v>
      </c>
      <c r="B16" t="s">
        <v>32</v>
      </c>
      <c r="C16" t="str">
        <f>HYPERLINK("https://tap.az/elanlar/neqliyyat/avtomobiller/47323158", "Linke kec")</f>
        <v>Linke kec</v>
      </c>
    </row>
    <row r="17" spans="1:3" x14ac:dyDescent="0.3">
      <c r="A17" t="s">
        <v>33</v>
      </c>
      <c r="B17" t="s">
        <v>34</v>
      </c>
      <c r="C17" t="str">
        <f>HYPERLINK("https://tap.az/elanlar/neqliyyat/avtomobiller/48620502", "Linke kec")</f>
        <v>Linke kec</v>
      </c>
    </row>
    <row r="18" spans="1:3" x14ac:dyDescent="0.3">
      <c r="A18" t="s">
        <v>35</v>
      </c>
      <c r="B18" t="s">
        <v>36</v>
      </c>
      <c r="C18" t="str">
        <f>HYPERLINK("https://tap.az/elanlar/neqliyyat/avtomobiller/48620481", "Linke kec")</f>
        <v>Linke kec</v>
      </c>
    </row>
    <row r="19" spans="1:3" x14ac:dyDescent="0.3">
      <c r="A19" t="s">
        <v>37</v>
      </c>
      <c r="B19" t="s">
        <v>38</v>
      </c>
      <c r="C19" t="str">
        <f>HYPERLINK("https://tap.az/elanlar/neqliyyat/avtomobiller/48620394", "Linke kec")</f>
        <v>Linke kec</v>
      </c>
    </row>
    <row r="20" spans="1:3" x14ac:dyDescent="0.3">
      <c r="A20" t="s">
        <v>39</v>
      </c>
      <c r="B20" t="s">
        <v>40</v>
      </c>
      <c r="C20" t="str">
        <f>HYPERLINK("https://tap.az/elanlar/neqliyyat/avtomobiller/46996069", "Linke kec")</f>
        <v>Linke kec</v>
      </c>
    </row>
    <row r="21" spans="1:3" x14ac:dyDescent="0.3">
      <c r="A21" t="s">
        <v>41</v>
      </c>
      <c r="B21" t="s">
        <v>42</v>
      </c>
      <c r="C21" t="str">
        <f>HYPERLINK("https://tap.az/elanlar/neqliyyat/avtomobiller/48405789", "Linke kec")</f>
        <v>Linke kec</v>
      </c>
    </row>
    <row r="22" spans="1:3" x14ac:dyDescent="0.3">
      <c r="A22" t="s">
        <v>43</v>
      </c>
      <c r="B22" t="s">
        <v>44</v>
      </c>
      <c r="C22" t="str">
        <f>HYPERLINK("https://tap.az/elanlar/neqliyyat/avtomobiller/48610650", "Linke kec")</f>
        <v>Linke kec</v>
      </c>
    </row>
    <row r="23" spans="1:3" x14ac:dyDescent="0.3">
      <c r="A23" t="s">
        <v>45</v>
      </c>
      <c r="B23" t="s">
        <v>46</v>
      </c>
      <c r="C23" t="str">
        <f>HYPERLINK("https://tap.az/elanlar/neqliyyat/avtomobiller/48620144", "Linke kec")</f>
        <v>Linke kec</v>
      </c>
    </row>
    <row r="24" spans="1:3" x14ac:dyDescent="0.3">
      <c r="A24" t="s">
        <v>47</v>
      </c>
      <c r="B24" t="s">
        <v>48</v>
      </c>
      <c r="C24" t="str">
        <f>HYPERLINK("https://tap.az/elanlar/neqliyyat/avtomobiller/48347004", "Linke kec")</f>
        <v>Linke kec</v>
      </c>
    </row>
    <row r="25" spans="1:3" x14ac:dyDescent="0.3">
      <c r="A25" t="s">
        <v>49</v>
      </c>
      <c r="B25" t="s">
        <v>50</v>
      </c>
      <c r="C25" t="str">
        <f>HYPERLINK("https://tap.az/elanlar/neqliyyat/avtomobiller/48390180", "Linke kec")</f>
        <v>Linke kec</v>
      </c>
    </row>
    <row r="26" spans="1:3" x14ac:dyDescent="0.3">
      <c r="A26" t="s">
        <v>51</v>
      </c>
      <c r="B26" t="s">
        <v>52</v>
      </c>
      <c r="C26" t="str">
        <f>HYPERLINK("https://tap.az/elanlar/neqliyyat/avtomobiller/48619773", "Linke kec")</f>
        <v>Linke kec</v>
      </c>
    </row>
    <row r="27" spans="1:3" x14ac:dyDescent="0.3">
      <c r="A27" t="s">
        <v>53</v>
      </c>
      <c r="B27" t="s">
        <v>54</v>
      </c>
      <c r="C27" t="str">
        <f>HYPERLINK("https://tap.az/elanlar/neqliyyat/avtomobiller/48619609", "Linke kec")</f>
        <v>Linke kec</v>
      </c>
    </row>
    <row r="28" spans="1:3" x14ac:dyDescent="0.3">
      <c r="A28" t="s">
        <v>55</v>
      </c>
      <c r="B28" t="s">
        <v>56</v>
      </c>
      <c r="C28" t="str">
        <f>HYPERLINK("https://tap.az/elanlar/neqliyyat/avtomobiller/48613724", "Linke kec")</f>
        <v>Linke kec</v>
      </c>
    </row>
    <row r="29" spans="1:3" x14ac:dyDescent="0.3">
      <c r="A29" t="s">
        <v>43</v>
      </c>
      <c r="B29" t="s">
        <v>57</v>
      </c>
      <c r="C29" t="str">
        <f>HYPERLINK("https://tap.az/elanlar/neqliyyat/avtomobiller/48619291", "Linke kec")</f>
        <v>Linke kec</v>
      </c>
    </row>
    <row r="30" spans="1:3" x14ac:dyDescent="0.3">
      <c r="A30" t="s">
        <v>43</v>
      </c>
      <c r="B30" t="s">
        <v>58</v>
      </c>
      <c r="C30" t="str">
        <f>HYPERLINK("https://tap.az/elanlar/neqliyyat/avtomobiller/48410349", "Linke kec")</f>
        <v>Linke kec</v>
      </c>
    </row>
    <row r="31" spans="1:3" x14ac:dyDescent="0.3">
      <c r="A31" t="s">
        <v>59</v>
      </c>
      <c r="B31" t="s">
        <v>60</v>
      </c>
      <c r="C31" t="str">
        <f>HYPERLINK("https://tap.az/elanlar/neqliyyat/avtomobiller/48619500", "Linke kec")</f>
        <v>Linke kec</v>
      </c>
    </row>
    <row r="32" spans="1:3" x14ac:dyDescent="0.3">
      <c r="A32" t="s">
        <v>61</v>
      </c>
      <c r="B32" t="s">
        <v>62</v>
      </c>
      <c r="C32" t="str">
        <f>HYPERLINK("https://tap.az/elanlar/neqliyyat/avtomobiller/48587288", "Linke kec")</f>
        <v>Linke kec</v>
      </c>
    </row>
    <row r="33" spans="1:3" x14ac:dyDescent="0.3">
      <c r="A33" t="s">
        <v>63</v>
      </c>
      <c r="B33" t="s">
        <v>10</v>
      </c>
      <c r="C33" t="str">
        <f>HYPERLINK("https://tap.az/elanlar/neqliyyat/avtomobiller/48540755", "Linke kec")</f>
        <v>Linke kec</v>
      </c>
    </row>
    <row r="34" spans="1:3" x14ac:dyDescent="0.3">
      <c r="A34" t="s">
        <v>64</v>
      </c>
      <c r="B34" t="s">
        <v>65</v>
      </c>
      <c r="C34" t="str">
        <f>HYPERLINK("https://tap.az/elanlar/neqliyyat/avtomobiller/48619274", "Linke kec")</f>
        <v>Linke kec</v>
      </c>
    </row>
    <row r="35" spans="1:3" x14ac:dyDescent="0.3">
      <c r="A35" t="s">
        <v>33</v>
      </c>
      <c r="B35" t="s">
        <v>66</v>
      </c>
      <c r="C35" t="str">
        <f>HYPERLINK("https://tap.az/elanlar/neqliyyat/avtomobiller/48619185", "Linke kec")</f>
        <v>Linke kec</v>
      </c>
    </row>
    <row r="36" spans="1:3" x14ac:dyDescent="0.3">
      <c r="A36" t="s">
        <v>67</v>
      </c>
      <c r="B36" t="s">
        <v>68</v>
      </c>
      <c r="C36" t="str">
        <f>HYPERLINK("https://tap.az/elanlar/neqliyyat/avtomobiller/48366069", "Linke kec")</f>
        <v>Linke kec</v>
      </c>
    </row>
    <row r="37" spans="1:3" x14ac:dyDescent="0.3">
      <c r="A37" t="s">
        <v>55</v>
      </c>
      <c r="B37" t="s">
        <v>69</v>
      </c>
      <c r="C37" t="str">
        <f>HYPERLINK("https://tap.az/elanlar/neqliyyat/avtomobiller/48495192", "Linke kec")</f>
        <v>Linke kec</v>
      </c>
    </row>
    <row r="38" spans="1:3" x14ac:dyDescent="0.3">
      <c r="A38" t="s">
        <v>51</v>
      </c>
      <c r="B38" t="s">
        <v>70</v>
      </c>
      <c r="C38" t="str">
        <f>HYPERLINK("https://tap.az/elanlar/neqliyyat/avtomobiller/47270631", "Linke kec")</f>
        <v>Linke kec</v>
      </c>
    </row>
    <row r="39" spans="1:3" x14ac:dyDescent="0.3">
      <c r="A39" t="s">
        <v>71</v>
      </c>
      <c r="B39" t="s">
        <v>72</v>
      </c>
      <c r="C39" t="str">
        <f>HYPERLINK("https://tap.az/elanlar/neqliyyat/avtomobiller/48618039", "Linke kec")</f>
        <v>Linke kec</v>
      </c>
    </row>
    <row r="40" spans="1:3" x14ac:dyDescent="0.3">
      <c r="A40" t="s">
        <v>73</v>
      </c>
      <c r="B40" t="s">
        <v>74</v>
      </c>
      <c r="C40" t="str">
        <f>HYPERLINK("https://tap.az/elanlar/neqliyyat/avtomobiller/48617899", "Linke kec")</f>
        <v>Linke kec</v>
      </c>
    </row>
    <row r="41" spans="1:3" x14ac:dyDescent="0.3">
      <c r="A41" t="s">
        <v>75</v>
      </c>
      <c r="B41" t="s">
        <v>76</v>
      </c>
      <c r="C41" t="str">
        <f>HYPERLINK("https://tap.az/elanlar/neqliyyat/avtomobiller/48534372", "Linke kec")</f>
        <v>Linke kec</v>
      </c>
    </row>
    <row r="42" spans="1:3" x14ac:dyDescent="0.3">
      <c r="A42" t="s">
        <v>77</v>
      </c>
      <c r="B42" t="s">
        <v>52</v>
      </c>
      <c r="C42" t="str">
        <f>HYPERLINK("https://tap.az/elanlar/neqliyyat/avtomobiller/47883353", "Linke kec")</f>
        <v>Linke kec</v>
      </c>
    </row>
    <row r="43" spans="1:3" x14ac:dyDescent="0.3">
      <c r="A43" t="s">
        <v>78</v>
      </c>
      <c r="B43" t="s">
        <v>79</v>
      </c>
      <c r="C43" t="str">
        <f>HYPERLINK("https://tap.az/elanlar/neqliyyat/avtomobiller/47840902", "Linke kec")</f>
        <v>Linke kec</v>
      </c>
    </row>
    <row r="44" spans="1:3" x14ac:dyDescent="0.3">
      <c r="A44" t="s">
        <v>19</v>
      </c>
      <c r="B44" t="s">
        <v>70</v>
      </c>
      <c r="C44" t="str">
        <f>HYPERLINK("https://tap.az/elanlar/neqliyyat/avtomobiller/48616632", "Linke kec")</f>
        <v>Linke kec</v>
      </c>
    </row>
    <row r="45" spans="1:3" x14ac:dyDescent="0.3">
      <c r="A45" t="s">
        <v>78</v>
      </c>
      <c r="B45" t="s">
        <v>4</v>
      </c>
      <c r="C45" t="str">
        <f>HYPERLINK("https://tap.az/elanlar/neqliyyat/avtomobiller/48616543", "Linke kec")</f>
        <v>Linke kec</v>
      </c>
    </row>
    <row r="46" spans="1:3" x14ac:dyDescent="0.3">
      <c r="A46" t="s">
        <v>80</v>
      </c>
      <c r="B46" t="s">
        <v>81</v>
      </c>
      <c r="C46" t="str">
        <f>HYPERLINK("https://tap.az/elanlar/neqliyyat/avtomobiller/43658068", "Linke kec")</f>
        <v>Linke kec</v>
      </c>
    </row>
    <row r="47" spans="1:3" x14ac:dyDescent="0.3">
      <c r="A47" t="s">
        <v>82</v>
      </c>
      <c r="B47" t="s">
        <v>83</v>
      </c>
      <c r="C47" t="str">
        <f>HYPERLINK("https://tap.az/elanlar/neqliyyat/avtomobiller/42138757", "Linke kec")</f>
        <v>Linke kec</v>
      </c>
    </row>
    <row r="48" spans="1:3" x14ac:dyDescent="0.3">
      <c r="A48" t="s">
        <v>43</v>
      </c>
      <c r="B48" t="s">
        <v>68</v>
      </c>
      <c r="C48" t="str">
        <f>HYPERLINK("https://tap.az/elanlar/neqliyyat/avtomobiller/48615791", "Linke kec")</f>
        <v>Linke kec</v>
      </c>
    </row>
    <row r="49" spans="1:3" x14ac:dyDescent="0.3">
      <c r="A49" t="s">
        <v>84</v>
      </c>
      <c r="B49" t="s">
        <v>50</v>
      </c>
      <c r="C49" t="str">
        <f>HYPERLINK("https://tap.az/elanlar/neqliyyat/avtomobiller/48615635", "Linke kec")</f>
        <v>Linke kec</v>
      </c>
    </row>
    <row r="50" spans="1:3" x14ac:dyDescent="0.3">
      <c r="A50" t="s">
        <v>85</v>
      </c>
      <c r="B50" t="s">
        <v>86</v>
      </c>
      <c r="C50" t="str">
        <f>HYPERLINK("https://tap.az/elanlar/neqliyyat/avtomobiller/48615562", "Linke kec")</f>
        <v>Linke kec</v>
      </c>
    </row>
    <row r="51" spans="1:3" x14ac:dyDescent="0.3">
      <c r="A51" t="s">
        <v>87</v>
      </c>
      <c r="B51" t="s">
        <v>88</v>
      </c>
      <c r="C51" t="str">
        <f>HYPERLINK("https://tap.az/elanlar/neqliyyat/avtomobiller/48226859", "Linke kec")</f>
        <v>Linke kec</v>
      </c>
    </row>
    <row r="52" spans="1:3" x14ac:dyDescent="0.3">
      <c r="A52" t="s">
        <v>89</v>
      </c>
      <c r="B52" t="s">
        <v>90</v>
      </c>
      <c r="C52" t="str">
        <f>HYPERLINK("https://tap.az/elanlar/neqliyyat/avtomobiller/48615406", "Linke kec")</f>
        <v>Linke kec</v>
      </c>
    </row>
    <row r="53" spans="1:3" x14ac:dyDescent="0.3">
      <c r="A53" t="s">
        <v>91</v>
      </c>
      <c r="B53" t="s">
        <v>4</v>
      </c>
      <c r="C53" t="str">
        <f>HYPERLINK("https://tap.az/elanlar/neqliyyat/avtomobiller/47780983", "Linke kec")</f>
        <v>Linke kec</v>
      </c>
    </row>
    <row r="54" spans="1:3" x14ac:dyDescent="0.3">
      <c r="A54" t="s">
        <v>92</v>
      </c>
      <c r="B54" t="s">
        <v>93</v>
      </c>
      <c r="C54" t="str">
        <f>HYPERLINK("https://tap.az/elanlar/neqliyyat/avtomobiller/46852701", "Linke kec")</f>
        <v>Linke kec</v>
      </c>
    </row>
    <row r="55" spans="1:3" x14ac:dyDescent="0.3">
      <c r="A55" t="s">
        <v>94</v>
      </c>
      <c r="B55" t="s">
        <v>46</v>
      </c>
      <c r="C55" t="str">
        <f>HYPERLINK("https://tap.az/elanlar/neqliyyat/avtomobiller/48615237", "Linke kec")</f>
        <v>Linke kec</v>
      </c>
    </row>
    <row r="56" spans="1:3" x14ac:dyDescent="0.3">
      <c r="A56" t="s">
        <v>95</v>
      </c>
      <c r="B56" t="s">
        <v>96</v>
      </c>
      <c r="C56" t="str">
        <f>HYPERLINK("https://tap.az/elanlar/neqliyyat/avtomobiller/48615232", "Linke kec")</f>
        <v>Linke kec</v>
      </c>
    </row>
    <row r="57" spans="1:3" x14ac:dyDescent="0.3">
      <c r="A57" t="s">
        <v>97</v>
      </c>
      <c r="B57" t="s">
        <v>4</v>
      </c>
      <c r="C57" t="str">
        <f>HYPERLINK("https://tap.az/elanlar/neqliyyat/avtomobiller/46306202", "Linke kec")</f>
        <v>Linke kec</v>
      </c>
    </row>
    <row r="58" spans="1:3" x14ac:dyDescent="0.3">
      <c r="A58" t="s">
        <v>98</v>
      </c>
      <c r="B58" t="s">
        <v>99</v>
      </c>
      <c r="C58" t="str">
        <f>HYPERLINK("https://tap.az/elanlar/neqliyyat/avtomobiller/48570845", "Linke kec")</f>
        <v>Linke kec</v>
      </c>
    </row>
    <row r="59" spans="1:3" x14ac:dyDescent="0.3">
      <c r="A59" t="s">
        <v>100</v>
      </c>
      <c r="B59" t="s">
        <v>101</v>
      </c>
      <c r="C59" t="str">
        <f>HYPERLINK("https://tap.az/elanlar/neqliyyat/avtomobiller/48533697", "Linke kec")</f>
        <v>Linke kec</v>
      </c>
    </row>
    <row r="60" spans="1:3" x14ac:dyDescent="0.3">
      <c r="A60" t="s">
        <v>102</v>
      </c>
      <c r="B60" t="s">
        <v>103</v>
      </c>
      <c r="C60" t="str">
        <f>HYPERLINK("https://tap.az/elanlar/neqliyyat/avtomobiller/48614429", "Linke kec")</f>
        <v>Linke kec</v>
      </c>
    </row>
    <row r="61" spans="1:3" x14ac:dyDescent="0.3">
      <c r="A61" t="s">
        <v>104</v>
      </c>
      <c r="B61" t="s">
        <v>105</v>
      </c>
      <c r="C61" t="str">
        <f>HYPERLINK("https://tap.az/elanlar/neqliyyat/avtomobiller/48614096", "Linke kec")</f>
        <v>Linke kec</v>
      </c>
    </row>
    <row r="62" spans="1:3" x14ac:dyDescent="0.3">
      <c r="A62" t="s">
        <v>45</v>
      </c>
      <c r="B62" t="s">
        <v>106</v>
      </c>
      <c r="C62" t="str">
        <f>HYPERLINK("https://tap.az/elanlar/neqliyyat/avtomobiller/48613680", "Linke kec")</f>
        <v>Linke kec</v>
      </c>
    </row>
    <row r="63" spans="1:3" x14ac:dyDescent="0.3">
      <c r="A63" t="s">
        <v>107</v>
      </c>
      <c r="B63" t="s">
        <v>108</v>
      </c>
      <c r="C63" t="str">
        <f>HYPERLINK("https://tap.az/elanlar/neqliyyat/avtomobiller/48613515", "Linke kec")</f>
        <v>Linke kec</v>
      </c>
    </row>
    <row r="64" spans="1:3" x14ac:dyDescent="0.3">
      <c r="A64" t="s">
        <v>109</v>
      </c>
      <c r="B64" t="s">
        <v>110</v>
      </c>
      <c r="C64" t="str">
        <f>HYPERLINK("https://tap.az/elanlar/neqliyyat/avtomobiller/48613489", "Linke kec")</f>
        <v>Linke kec</v>
      </c>
    </row>
    <row r="65" spans="1:3" x14ac:dyDescent="0.3">
      <c r="A65" t="s">
        <v>11</v>
      </c>
      <c r="B65" t="s">
        <v>30</v>
      </c>
      <c r="C65" t="str">
        <f>HYPERLINK("https://tap.az/elanlar/neqliyyat/avtomobiller/48613128", "Linke kec")</f>
        <v>Linke kec</v>
      </c>
    </row>
    <row r="66" spans="1:3" x14ac:dyDescent="0.3">
      <c r="A66" t="s">
        <v>111</v>
      </c>
      <c r="B66" t="s">
        <v>112</v>
      </c>
      <c r="C66" t="str">
        <f>HYPERLINK("https://tap.az/elanlar/neqliyyat/avtomobiller/48613031", "Linke kec")</f>
        <v>Linke kec</v>
      </c>
    </row>
    <row r="67" spans="1:3" x14ac:dyDescent="0.3">
      <c r="A67" t="s">
        <v>113</v>
      </c>
      <c r="B67" t="s">
        <v>114</v>
      </c>
      <c r="C67" t="str">
        <f>HYPERLINK("https://tap.az/elanlar/neqliyyat/avtomobiller/48612843", "Linke kec")</f>
        <v>Linke kec</v>
      </c>
    </row>
    <row r="68" spans="1:3" x14ac:dyDescent="0.3">
      <c r="A68" t="s">
        <v>115</v>
      </c>
      <c r="B68" t="s">
        <v>116</v>
      </c>
      <c r="C68" t="str">
        <f>HYPERLINK("https://tap.az/elanlar/neqliyyat/avtomobiller/48612774", "Linke kec")</f>
        <v>Linke kec</v>
      </c>
    </row>
    <row r="69" spans="1:3" x14ac:dyDescent="0.3">
      <c r="A69" t="s">
        <v>117</v>
      </c>
      <c r="B69" t="s">
        <v>14</v>
      </c>
      <c r="C69" t="str">
        <f>HYPERLINK("https://tap.az/elanlar/neqliyyat/avtomobiller/48135982", "Linke kec")</f>
        <v>Linke kec</v>
      </c>
    </row>
    <row r="70" spans="1:3" x14ac:dyDescent="0.3">
      <c r="A70" t="s">
        <v>118</v>
      </c>
      <c r="B70" t="s">
        <v>119</v>
      </c>
      <c r="C70" t="str">
        <f>HYPERLINK("https://tap.az/elanlar/neqliyyat/avtomobiller/48163852", "Linke kec")</f>
        <v>Linke kec</v>
      </c>
    </row>
    <row r="71" spans="1:3" x14ac:dyDescent="0.3">
      <c r="A71" t="s">
        <v>120</v>
      </c>
      <c r="B71" t="s">
        <v>121</v>
      </c>
      <c r="C71" t="str">
        <f>HYPERLINK("https://tap.az/elanlar/neqliyyat/avtomobiller/48612627", "Linke kec")</f>
        <v>Linke kec</v>
      </c>
    </row>
    <row r="72" spans="1:3" x14ac:dyDescent="0.3">
      <c r="A72" t="s">
        <v>47</v>
      </c>
      <c r="B72" t="s">
        <v>122</v>
      </c>
      <c r="C72" t="str">
        <f>HYPERLINK("https://tap.az/elanlar/neqliyyat/avtomobiller/48612600", "Linke kec")</f>
        <v>Linke kec</v>
      </c>
    </row>
    <row r="73" spans="1:3" x14ac:dyDescent="0.3">
      <c r="A73" t="s">
        <v>123</v>
      </c>
      <c r="B73" t="s">
        <v>124</v>
      </c>
      <c r="C73" t="str">
        <f>HYPERLINK("https://tap.az/elanlar/neqliyyat/avtomobiller/43751572", "Linke kec")</f>
        <v>Linke kec</v>
      </c>
    </row>
    <row r="74" spans="1:3" x14ac:dyDescent="0.3">
      <c r="A74" t="s">
        <v>104</v>
      </c>
      <c r="B74" t="s">
        <v>125</v>
      </c>
      <c r="C74" t="str">
        <f>HYPERLINK("https://tap.az/elanlar/neqliyyat/avtomobiller/48612330", "Linke kec")</f>
        <v>Linke kec</v>
      </c>
    </row>
    <row r="75" spans="1:3" x14ac:dyDescent="0.3">
      <c r="A75" t="s">
        <v>126</v>
      </c>
      <c r="B75" t="s">
        <v>127</v>
      </c>
      <c r="C75" t="str">
        <f>HYPERLINK("https://tap.az/elanlar/neqliyyat/avtomobiller/48612239", "Linke kec")</f>
        <v>Linke kec</v>
      </c>
    </row>
    <row r="76" spans="1:3" x14ac:dyDescent="0.3">
      <c r="A76" t="s">
        <v>128</v>
      </c>
      <c r="B76" t="s">
        <v>129</v>
      </c>
      <c r="C76" t="str">
        <f>HYPERLINK("https://tap.az/elanlar/neqliyyat/avtomobiller/46540689", "Linke kec")</f>
        <v>Linke kec</v>
      </c>
    </row>
    <row r="77" spans="1:3" x14ac:dyDescent="0.3">
      <c r="A77" t="s">
        <v>130</v>
      </c>
      <c r="B77" t="s">
        <v>131</v>
      </c>
      <c r="C77" t="str">
        <f>HYPERLINK("https://tap.az/elanlar/neqliyyat/avtomobiller/48136255", "Linke kec")</f>
        <v>Linke kec</v>
      </c>
    </row>
    <row r="78" spans="1:3" x14ac:dyDescent="0.3">
      <c r="A78" t="s">
        <v>132</v>
      </c>
      <c r="B78" t="s">
        <v>133</v>
      </c>
      <c r="C78" t="str">
        <f>HYPERLINK("https://tap.az/elanlar/neqliyyat/avtomobiller/48169714", "Linke kec")</f>
        <v>Linke kec</v>
      </c>
    </row>
    <row r="79" spans="1:3" x14ac:dyDescent="0.3">
      <c r="A79" t="s">
        <v>134</v>
      </c>
      <c r="B79" t="s">
        <v>46</v>
      </c>
      <c r="C79" t="str">
        <f>HYPERLINK("https://tap.az/elanlar/neqliyyat/avtomobiller/48611268", "Linke kec")</f>
        <v>Linke kec</v>
      </c>
    </row>
    <row r="80" spans="1:3" x14ac:dyDescent="0.3">
      <c r="A80" t="s">
        <v>135</v>
      </c>
      <c r="B80" t="s">
        <v>6</v>
      </c>
      <c r="C80" t="str">
        <f>HYPERLINK("https://tap.az/elanlar/neqliyyat/avtomobiller/47201560", "Linke kec")</f>
        <v>Linke kec</v>
      </c>
    </row>
    <row r="81" spans="1:3" x14ac:dyDescent="0.3">
      <c r="A81" t="s">
        <v>136</v>
      </c>
      <c r="B81" t="s">
        <v>137</v>
      </c>
      <c r="C81" t="str">
        <f>HYPERLINK("https://tap.az/elanlar/neqliyyat/avtomobiller/48610418", "Linke kec")</f>
        <v>Linke kec</v>
      </c>
    </row>
    <row r="82" spans="1:3" x14ac:dyDescent="0.3">
      <c r="A82" t="s">
        <v>138</v>
      </c>
      <c r="B82" t="s">
        <v>139</v>
      </c>
      <c r="C82" t="str">
        <f>HYPERLINK("https://tap.az/elanlar/neqliyyat/avtomobiller/48608858", "Linke kec")</f>
        <v>Linke kec</v>
      </c>
    </row>
    <row r="83" spans="1:3" x14ac:dyDescent="0.3">
      <c r="A83" t="s">
        <v>140</v>
      </c>
      <c r="B83" t="s">
        <v>40</v>
      </c>
      <c r="C83" t="str">
        <f>HYPERLINK("https://tap.az/elanlar/neqliyyat/avtomobiller/48608061", "Linke kec")</f>
        <v>Linke kec</v>
      </c>
    </row>
    <row r="84" spans="1:3" x14ac:dyDescent="0.3">
      <c r="A84" t="s">
        <v>141</v>
      </c>
      <c r="B84" t="s">
        <v>86</v>
      </c>
      <c r="C84" t="str">
        <f>HYPERLINK("https://tap.az/elanlar/neqliyyat/avtomobiller/48607752", "Linke kec")</f>
        <v>Linke kec</v>
      </c>
    </row>
    <row r="85" spans="1:3" x14ac:dyDescent="0.3">
      <c r="A85" t="s">
        <v>142</v>
      </c>
      <c r="B85" t="s">
        <v>143</v>
      </c>
      <c r="C85" t="str">
        <f>HYPERLINK("https://tap.az/elanlar/neqliyyat/avtomobiller/48607487", "Linke kec")</f>
        <v>Linke kec</v>
      </c>
    </row>
    <row r="86" spans="1:3" x14ac:dyDescent="0.3">
      <c r="A86" t="s">
        <v>144</v>
      </c>
      <c r="B86" t="s">
        <v>70</v>
      </c>
      <c r="C86" t="str">
        <f>HYPERLINK("https://tap.az/elanlar/neqliyyat/avtomobiller/48607332", "Linke kec")</f>
        <v>Linke kec</v>
      </c>
    </row>
    <row r="87" spans="1:3" x14ac:dyDescent="0.3">
      <c r="A87" t="s">
        <v>73</v>
      </c>
      <c r="B87" t="s">
        <v>145</v>
      </c>
      <c r="C87" t="str">
        <f>HYPERLINK("https://tap.az/elanlar/neqliyyat/avtomobiller/48593292", "Linke kec")</f>
        <v>Linke kec</v>
      </c>
    </row>
    <row r="88" spans="1:3" x14ac:dyDescent="0.3">
      <c r="A88" t="s">
        <v>146</v>
      </c>
      <c r="B88" t="s">
        <v>116</v>
      </c>
      <c r="C88" t="str">
        <f>HYPERLINK("https://tap.az/elanlar/neqliyyat/avtomobiller/48607019", "Linke kec")</f>
        <v>Linke kec</v>
      </c>
    </row>
    <row r="89" spans="1:3" x14ac:dyDescent="0.3">
      <c r="A89" t="s">
        <v>147</v>
      </c>
      <c r="B89" t="s">
        <v>54</v>
      </c>
      <c r="C89" t="str">
        <f>HYPERLINK("https://tap.az/elanlar/neqliyyat/avtomobiller/48224481", "Linke kec")</f>
        <v>Linke kec</v>
      </c>
    </row>
    <row r="90" spans="1:3" x14ac:dyDescent="0.3">
      <c r="A90" t="s">
        <v>94</v>
      </c>
      <c r="B90" t="s">
        <v>116</v>
      </c>
      <c r="C90" t="str">
        <f>HYPERLINK("https://tap.az/elanlar/neqliyyat/avtomobiller/48606983", "Linke kec")</f>
        <v>Linke kec</v>
      </c>
    </row>
    <row r="91" spans="1:3" x14ac:dyDescent="0.3">
      <c r="A91" t="s">
        <v>73</v>
      </c>
      <c r="B91" t="s">
        <v>56</v>
      </c>
      <c r="C91" t="str">
        <f>HYPERLINK("https://tap.az/elanlar/neqliyyat/avtomobiller/48242137", "Linke kec")</f>
        <v>Linke kec</v>
      </c>
    </row>
    <row r="92" spans="1:3" x14ac:dyDescent="0.3">
      <c r="A92" t="s">
        <v>148</v>
      </c>
      <c r="B92" t="s">
        <v>149</v>
      </c>
      <c r="C92" t="str">
        <f>HYPERLINK("https://tap.az/elanlar/neqliyyat/avtomobiller/48052078", "Linke kec")</f>
        <v>Linke kec</v>
      </c>
    </row>
    <row r="93" spans="1:3" x14ac:dyDescent="0.3">
      <c r="A93" t="s">
        <v>150</v>
      </c>
      <c r="B93" t="s">
        <v>151</v>
      </c>
      <c r="C93" t="str">
        <f>HYPERLINK("https://tap.az/elanlar/neqliyyat/avtomobiller/48539311", "Linke kec")</f>
        <v>Linke kec</v>
      </c>
    </row>
    <row r="94" spans="1:3" x14ac:dyDescent="0.3">
      <c r="A94" t="s">
        <v>152</v>
      </c>
      <c r="B94" t="s">
        <v>153</v>
      </c>
      <c r="C94" t="str">
        <f>HYPERLINK("https://tap.az/elanlar/neqliyyat/avtomobiller/48606724", "Linke kec")</f>
        <v>Linke kec</v>
      </c>
    </row>
    <row r="95" spans="1:3" x14ac:dyDescent="0.3">
      <c r="A95" t="s">
        <v>154</v>
      </c>
      <c r="B95" t="s">
        <v>151</v>
      </c>
      <c r="C95" t="str">
        <f>HYPERLINK("https://tap.az/elanlar/neqliyyat/avtomobiller/48171008", "Linke kec")</f>
        <v>Linke kec</v>
      </c>
    </row>
    <row r="96" spans="1:3" x14ac:dyDescent="0.3">
      <c r="A96" t="s">
        <v>155</v>
      </c>
      <c r="B96" t="s">
        <v>156</v>
      </c>
      <c r="C96" t="str">
        <f>HYPERLINK("https://tap.az/elanlar/neqliyyat/avtomobiller/48606274", "Linke kec")</f>
        <v>Linke kec</v>
      </c>
    </row>
    <row r="97" spans="1:3" x14ac:dyDescent="0.3">
      <c r="A97" t="s">
        <v>123</v>
      </c>
      <c r="B97" t="s">
        <v>46</v>
      </c>
      <c r="C97" t="str">
        <f>HYPERLINK("https://tap.az/elanlar/neqliyyat/avtomobiller/48606242", "Linke kec")</f>
        <v>Linke kec</v>
      </c>
    </row>
    <row r="98" spans="1:3" x14ac:dyDescent="0.3">
      <c r="A98" t="s">
        <v>157</v>
      </c>
      <c r="B98" t="s">
        <v>158</v>
      </c>
      <c r="C98" t="str">
        <f>HYPERLINK("https://tap.az/elanlar/neqliyyat/avtomobiller/48606210", "Linke kec")</f>
        <v>Linke kec</v>
      </c>
    </row>
    <row r="99" spans="1:3" x14ac:dyDescent="0.3">
      <c r="A99" t="s">
        <v>159</v>
      </c>
      <c r="B99" t="s">
        <v>160</v>
      </c>
      <c r="C99" t="str">
        <f>HYPERLINK("https://tap.az/elanlar/neqliyyat/avtomobiller/48471943", "Linke kec")</f>
        <v>Linke kec</v>
      </c>
    </row>
    <row r="100" spans="1:3" x14ac:dyDescent="0.3">
      <c r="A100" t="s">
        <v>161</v>
      </c>
      <c r="B100" t="s">
        <v>162</v>
      </c>
      <c r="C100" t="str">
        <f>HYPERLINK("https://tap.az/elanlar/neqliyyat/avtomobiller/47841704", "Linke kec")</f>
        <v>Linke kec</v>
      </c>
    </row>
    <row r="101" spans="1:3" x14ac:dyDescent="0.3">
      <c r="A101" t="s">
        <v>163</v>
      </c>
      <c r="B101" t="s">
        <v>164</v>
      </c>
      <c r="C101" t="str">
        <f>HYPERLINK("https://tap.az/elanlar/neqliyyat/avtomobiller/48605591", "Linke kec")</f>
        <v>Linke kec</v>
      </c>
    </row>
    <row r="102" spans="1:3" x14ac:dyDescent="0.3">
      <c r="A102" t="s">
        <v>165</v>
      </c>
      <c r="B102" t="s">
        <v>166</v>
      </c>
      <c r="C102" t="str">
        <f>HYPERLINK("https://tap.az/elanlar/neqliyyat/avtomobiller/48605570", "Linke kec")</f>
        <v>Linke kec</v>
      </c>
    </row>
    <row r="103" spans="1:3" x14ac:dyDescent="0.3">
      <c r="A103" t="s">
        <v>126</v>
      </c>
      <c r="B103" t="s">
        <v>101</v>
      </c>
      <c r="C103" t="str">
        <f>HYPERLINK("https://tap.az/elanlar/neqliyyat/avtomobiller/48605339", "Linke kec")</f>
        <v>Linke kec</v>
      </c>
    </row>
    <row r="104" spans="1:3" x14ac:dyDescent="0.3">
      <c r="A104" t="s">
        <v>167</v>
      </c>
      <c r="B104" t="s">
        <v>168</v>
      </c>
      <c r="C104" t="str">
        <f>HYPERLINK("https://tap.az/elanlar/neqliyyat/avtomobiller/48351436", "Linke kec")</f>
        <v>Linke kec</v>
      </c>
    </row>
    <row r="105" spans="1:3" x14ac:dyDescent="0.3">
      <c r="A105" t="s">
        <v>169</v>
      </c>
      <c r="B105" t="s">
        <v>54</v>
      </c>
      <c r="C105" t="str">
        <f>HYPERLINK("https://tap.az/elanlar/neqliyyat/avtomobiller/48604972", "Linke kec")</f>
        <v>Linke kec</v>
      </c>
    </row>
    <row r="106" spans="1:3" x14ac:dyDescent="0.3">
      <c r="A106" t="s">
        <v>170</v>
      </c>
      <c r="B106" t="s">
        <v>171</v>
      </c>
      <c r="C106" t="str">
        <f>HYPERLINK("https://tap.az/elanlar/neqliyyat/avtomobiller/45550942", "Linke kec")</f>
        <v>Linke kec</v>
      </c>
    </row>
    <row r="107" spans="1:3" x14ac:dyDescent="0.3">
      <c r="A107" t="s">
        <v>19</v>
      </c>
      <c r="B107" t="s">
        <v>20</v>
      </c>
      <c r="C107" t="str">
        <f>HYPERLINK("https://tap.az/elanlar/neqliyyat/avtomobiller/48604889", "Linke kec")</f>
        <v>Linke kec</v>
      </c>
    </row>
    <row r="108" spans="1:3" x14ac:dyDescent="0.3">
      <c r="A108" t="s">
        <v>172</v>
      </c>
      <c r="B108" t="s">
        <v>4</v>
      </c>
      <c r="C108" t="str">
        <f>HYPERLINK("https://tap.az/elanlar/neqliyyat/avtomobiller/48604676", "Linke kec")</f>
        <v>Linke kec</v>
      </c>
    </row>
    <row r="109" spans="1:3" x14ac:dyDescent="0.3">
      <c r="A109" t="s">
        <v>173</v>
      </c>
      <c r="B109" t="s">
        <v>14</v>
      </c>
      <c r="C109" t="str">
        <f>HYPERLINK("https://tap.az/elanlar/neqliyyat/avtomobiller/48604257", "Linke kec")</f>
        <v>Linke kec</v>
      </c>
    </row>
    <row r="110" spans="1:3" x14ac:dyDescent="0.3">
      <c r="A110" t="s">
        <v>174</v>
      </c>
      <c r="B110" t="s">
        <v>66</v>
      </c>
      <c r="C110" t="str">
        <f>HYPERLINK("https://tap.az/elanlar/neqliyyat/avtomobiller/48604040", "Linke kec")</f>
        <v>Linke kec</v>
      </c>
    </row>
    <row r="111" spans="1:3" x14ac:dyDescent="0.3">
      <c r="A111" t="s">
        <v>170</v>
      </c>
      <c r="B111" t="s">
        <v>175</v>
      </c>
      <c r="C111" t="str">
        <f>HYPERLINK("https://tap.az/elanlar/neqliyyat/avtomobiller/48267169", "Linke kec")</f>
        <v>Linke kec</v>
      </c>
    </row>
    <row r="112" spans="1:3" x14ac:dyDescent="0.3">
      <c r="A112" t="s">
        <v>176</v>
      </c>
      <c r="B112" t="s">
        <v>177</v>
      </c>
      <c r="C112" t="str">
        <f>HYPERLINK("https://tap.az/elanlar/neqliyyat/avtomobiller/48011528", "Linke kec")</f>
        <v>Linke kec</v>
      </c>
    </row>
    <row r="113" spans="1:3" x14ac:dyDescent="0.3">
      <c r="A113" t="s">
        <v>47</v>
      </c>
      <c r="B113" t="s">
        <v>122</v>
      </c>
      <c r="C113" t="str">
        <f>HYPERLINK("https://tap.az/elanlar/neqliyyat/avtomobiller/48602320", "Linke kec")</f>
        <v>Linke kec</v>
      </c>
    </row>
    <row r="114" spans="1:3" x14ac:dyDescent="0.3">
      <c r="A114" t="s">
        <v>19</v>
      </c>
      <c r="B114" t="s">
        <v>178</v>
      </c>
      <c r="C114" t="str">
        <f>HYPERLINK("https://tap.az/elanlar/neqliyyat/avtomobiller/48602109", "Linke kec")</f>
        <v>Linke kec</v>
      </c>
    </row>
    <row r="115" spans="1:3" x14ac:dyDescent="0.3">
      <c r="A115" t="s">
        <v>9</v>
      </c>
      <c r="B115" t="s">
        <v>14</v>
      </c>
      <c r="C115" t="str">
        <f>HYPERLINK("https://tap.az/elanlar/neqliyyat/avtomobiller/48601965", "Linke kec")</f>
        <v>Linke kec</v>
      </c>
    </row>
    <row r="116" spans="1:3" x14ac:dyDescent="0.3">
      <c r="A116" t="s">
        <v>179</v>
      </c>
      <c r="B116" t="s">
        <v>65</v>
      </c>
      <c r="C116" t="str">
        <f>HYPERLINK("https://tap.az/elanlar/neqliyyat/avtomobiller/48601691", "Linke kec")</f>
        <v>Linke kec</v>
      </c>
    </row>
    <row r="117" spans="1:3" x14ac:dyDescent="0.3">
      <c r="A117" t="s">
        <v>31</v>
      </c>
      <c r="B117" t="s">
        <v>180</v>
      </c>
      <c r="C117" t="str">
        <f>HYPERLINK("https://tap.az/elanlar/neqliyyat/avtomobiller/47691024", "Linke kec")</f>
        <v>Linke kec</v>
      </c>
    </row>
    <row r="118" spans="1:3" x14ac:dyDescent="0.3">
      <c r="A118" t="s">
        <v>155</v>
      </c>
      <c r="B118" t="s">
        <v>99</v>
      </c>
      <c r="C118" t="str">
        <f>HYPERLINK("https://tap.az/elanlar/neqliyyat/avtomobiller/48601169", "Linke kec")</f>
        <v>Linke kec</v>
      </c>
    </row>
    <row r="119" spans="1:3" x14ac:dyDescent="0.3">
      <c r="A119" t="s">
        <v>181</v>
      </c>
      <c r="B119" t="s">
        <v>182</v>
      </c>
      <c r="C119" t="str">
        <f>HYPERLINK("https://tap.az/elanlar/neqliyyat/avtomobiller/48601078", "Linke kec")</f>
        <v>Linke kec</v>
      </c>
    </row>
    <row r="120" spans="1:3" x14ac:dyDescent="0.3">
      <c r="A120" t="s">
        <v>183</v>
      </c>
      <c r="B120" t="s">
        <v>62</v>
      </c>
      <c r="C120" t="str">
        <f>HYPERLINK("https://tap.az/elanlar/neqliyyat/avtomobiller/48540628", "Linke kec")</f>
        <v>Linke kec</v>
      </c>
    </row>
    <row r="121" spans="1:3" x14ac:dyDescent="0.3">
      <c r="A121" t="s">
        <v>184</v>
      </c>
      <c r="B121" t="s">
        <v>185</v>
      </c>
      <c r="C121" t="str">
        <f>HYPERLINK("https://tap.az/elanlar/neqliyyat/avtomobiller/48599922", "Linke kec")</f>
        <v>Linke kec</v>
      </c>
    </row>
    <row r="122" spans="1:3" x14ac:dyDescent="0.3">
      <c r="A122" t="s">
        <v>53</v>
      </c>
      <c r="B122" t="s">
        <v>186</v>
      </c>
      <c r="C122" t="str">
        <f>HYPERLINK("https://tap.az/elanlar/neqliyyat/avtomobiller/48600446", "Linke kec")</f>
        <v>Linke kec</v>
      </c>
    </row>
    <row r="123" spans="1:3" x14ac:dyDescent="0.3">
      <c r="A123" t="s">
        <v>128</v>
      </c>
      <c r="B123" t="s">
        <v>187</v>
      </c>
      <c r="C123" t="str">
        <f>HYPERLINK("https://tap.az/elanlar/neqliyyat/avtomobiller/48600425", "Linke kec")</f>
        <v>Linke kec</v>
      </c>
    </row>
    <row r="124" spans="1:3" x14ac:dyDescent="0.3">
      <c r="A124" t="s">
        <v>188</v>
      </c>
      <c r="B124" t="s">
        <v>116</v>
      </c>
      <c r="C124" t="str">
        <f>HYPERLINK("https://tap.az/elanlar/neqliyyat/avtomobiller/48600196", "Linke kec")</f>
        <v>Linke kec</v>
      </c>
    </row>
    <row r="125" spans="1:3" x14ac:dyDescent="0.3">
      <c r="A125" t="s">
        <v>136</v>
      </c>
      <c r="B125" t="s">
        <v>90</v>
      </c>
      <c r="C125" t="str">
        <f>HYPERLINK("https://tap.az/elanlar/neqliyyat/avtomobiller/48599961", "Linke kec")</f>
        <v>Linke kec</v>
      </c>
    </row>
    <row r="126" spans="1:3" x14ac:dyDescent="0.3">
      <c r="A126" t="s">
        <v>189</v>
      </c>
      <c r="B126" t="s">
        <v>62</v>
      </c>
      <c r="C126" t="str">
        <f>HYPERLINK("https://tap.az/elanlar/neqliyyat/avtomobiller/41983756", "Linke kec")</f>
        <v>Linke kec</v>
      </c>
    </row>
    <row r="127" spans="1:3" x14ac:dyDescent="0.3">
      <c r="A127" t="s">
        <v>190</v>
      </c>
      <c r="B127" t="s">
        <v>93</v>
      </c>
      <c r="C127" t="str">
        <f>HYPERLINK("https://tap.az/elanlar/neqliyyat/avtomobiller/48599706", "Linke kec")</f>
        <v>Linke kec</v>
      </c>
    </row>
    <row r="128" spans="1:3" x14ac:dyDescent="0.3">
      <c r="A128" t="s">
        <v>191</v>
      </c>
      <c r="B128" t="s">
        <v>192</v>
      </c>
      <c r="C128" t="str">
        <f>HYPERLINK("https://tap.az/elanlar/neqliyyat/avtomobiller/48599672", "Linke kec")</f>
        <v>Linke kec</v>
      </c>
    </row>
    <row r="129" spans="1:3" x14ac:dyDescent="0.3">
      <c r="A129" t="s">
        <v>193</v>
      </c>
      <c r="B129" t="s">
        <v>194</v>
      </c>
      <c r="C129" t="str">
        <f>HYPERLINK("https://tap.az/elanlar/neqliyyat/avtomobiller/48599212", "Linke kec")</f>
        <v>Linke kec</v>
      </c>
    </row>
    <row r="130" spans="1:3" x14ac:dyDescent="0.3">
      <c r="A130" t="s">
        <v>136</v>
      </c>
      <c r="B130" t="s">
        <v>195</v>
      </c>
      <c r="C130" t="str">
        <f>HYPERLINK("https://tap.az/elanlar/neqliyyat/avtomobiller/48599126", "Linke kec")</f>
        <v>Linke kec</v>
      </c>
    </row>
    <row r="131" spans="1:3" x14ac:dyDescent="0.3">
      <c r="A131" t="s">
        <v>196</v>
      </c>
      <c r="B131" t="s">
        <v>197</v>
      </c>
      <c r="C131" t="str">
        <f>HYPERLINK("https://tap.az/elanlar/neqliyyat/avtomobiller/48521154", "Linke kec")</f>
        <v>Linke kec</v>
      </c>
    </row>
    <row r="132" spans="1:3" x14ac:dyDescent="0.3">
      <c r="A132" t="s">
        <v>77</v>
      </c>
      <c r="B132" t="s">
        <v>198</v>
      </c>
      <c r="C132" t="str">
        <f>HYPERLINK("https://tap.az/elanlar/neqliyyat/avtomobiller/46056649", "Linke kec")</f>
        <v>Linke kec</v>
      </c>
    </row>
    <row r="133" spans="1:3" x14ac:dyDescent="0.3">
      <c r="A133" t="s">
        <v>126</v>
      </c>
      <c r="B133" t="s">
        <v>199</v>
      </c>
      <c r="C133" t="str">
        <f>HYPERLINK("https://tap.az/elanlar/neqliyyat/avtomobiller/48598200", "Linke kec")</f>
        <v>Linke kec</v>
      </c>
    </row>
    <row r="134" spans="1:3" x14ac:dyDescent="0.3">
      <c r="A134" t="s">
        <v>63</v>
      </c>
      <c r="B134" t="s">
        <v>90</v>
      </c>
      <c r="C134" t="str">
        <f>HYPERLINK("https://tap.az/elanlar/neqliyyat/avtomobiller/47920870", "Linke kec")</f>
        <v>Linke kec</v>
      </c>
    </row>
    <row r="135" spans="1:3" x14ac:dyDescent="0.3">
      <c r="A135" t="s">
        <v>200</v>
      </c>
      <c r="B135" t="s">
        <v>177</v>
      </c>
      <c r="C135" t="str">
        <f>HYPERLINK("https://tap.az/elanlar/neqliyyat/avtomobiller/48462706", "Linke kec")</f>
        <v>Linke kec</v>
      </c>
    </row>
    <row r="136" spans="1:3" x14ac:dyDescent="0.3">
      <c r="A136" t="s">
        <v>77</v>
      </c>
      <c r="B136" t="s">
        <v>90</v>
      </c>
      <c r="C136" t="str">
        <f>HYPERLINK("https://tap.az/elanlar/neqliyyat/avtomobiller/48597507", "Linke kec")</f>
        <v>Linke kec</v>
      </c>
    </row>
    <row r="137" spans="1:3" x14ac:dyDescent="0.3">
      <c r="A137" t="s">
        <v>201</v>
      </c>
      <c r="B137" t="s">
        <v>202</v>
      </c>
      <c r="C137" t="str">
        <f>HYPERLINK("https://tap.az/elanlar/neqliyyat/avtomobiller/48597383", "Linke kec")</f>
        <v>Linke kec</v>
      </c>
    </row>
    <row r="138" spans="1:3" x14ac:dyDescent="0.3">
      <c r="A138" t="s">
        <v>203</v>
      </c>
      <c r="B138" t="s">
        <v>204</v>
      </c>
      <c r="C138" t="str">
        <f>HYPERLINK("https://tap.az/elanlar/neqliyyat/avtomobiller/48597254", "Linke kec")</f>
        <v>Linke kec</v>
      </c>
    </row>
    <row r="139" spans="1:3" x14ac:dyDescent="0.3">
      <c r="A139" t="s">
        <v>165</v>
      </c>
      <c r="B139" t="s">
        <v>68</v>
      </c>
      <c r="C139" t="str">
        <f>HYPERLINK("https://tap.az/elanlar/neqliyyat/avtomobiller/48597045", "Linke kec")</f>
        <v>Linke kec</v>
      </c>
    </row>
    <row r="140" spans="1:3" x14ac:dyDescent="0.3">
      <c r="A140" t="s">
        <v>205</v>
      </c>
      <c r="B140" t="s">
        <v>197</v>
      </c>
      <c r="C140" t="str">
        <f>HYPERLINK("https://tap.az/elanlar/neqliyyat/avtomobiller/48597027", "Linke kec")</f>
        <v>Linke kec</v>
      </c>
    </row>
    <row r="141" spans="1:3" x14ac:dyDescent="0.3">
      <c r="A141" t="s">
        <v>206</v>
      </c>
      <c r="B141" t="s">
        <v>207</v>
      </c>
      <c r="C141" t="str">
        <f>HYPERLINK("https://tap.az/elanlar/neqliyyat/avtomobiller/48596650", "Linke kec")</f>
        <v>Linke kec</v>
      </c>
    </row>
    <row r="142" spans="1:3" x14ac:dyDescent="0.3">
      <c r="A142" t="s">
        <v>55</v>
      </c>
      <c r="B142" t="s">
        <v>208</v>
      </c>
      <c r="C142" t="str">
        <f>HYPERLINK("https://tap.az/elanlar/neqliyyat/avtomobiller/48596585", "Linke kec")</f>
        <v>Linke kec</v>
      </c>
    </row>
    <row r="143" spans="1:3" x14ac:dyDescent="0.3">
      <c r="A143" t="s">
        <v>209</v>
      </c>
      <c r="B143" t="s">
        <v>210</v>
      </c>
      <c r="C143" t="str">
        <f>HYPERLINK("https://tap.az/elanlar/neqliyyat/avtomobiller/48596578", "Linke kec")</f>
        <v>Linke kec</v>
      </c>
    </row>
    <row r="144" spans="1:3" x14ac:dyDescent="0.3">
      <c r="A144" t="s">
        <v>211</v>
      </c>
      <c r="B144" t="s">
        <v>151</v>
      </c>
      <c r="C144" t="str">
        <f>HYPERLINK("https://tap.az/elanlar/neqliyyat/avtomobiller/48596153", "Linke kec")</f>
        <v>Linke kec</v>
      </c>
    </row>
    <row r="145" spans="1:3" x14ac:dyDescent="0.3">
      <c r="A145" t="s">
        <v>146</v>
      </c>
      <c r="B145" t="s">
        <v>72</v>
      </c>
      <c r="C145" t="str">
        <f>HYPERLINK("https://tap.az/elanlar/neqliyyat/avtomobiller/48560906", "Linke kec")</f>
        <v>Linke kec</v>
      </c>
    </row>
    <row r="146" spans="1:3" x14ac:dyDescent="0.3">
      <c r="A146" t="s">
        <v>212</v>
      </c>
      <c r="B146" t="s">
        <v>213</v>
      </c>
      <c r="C146" t="str">
        <f>HYPERLINK("https://tap.az/elanlar/neqliyyat/avtomobiller/48595625", "Linke kec")</f>
        <v>Linke kec</v>
      </c>
    </row>
    <row r="147" spans="1:3" x14ac:dyDescent="0.3">
      <c r="A147" t="s">
        <v>214</v>
      </c>
      <c r="B147" t="s">
        <v>215</v>
      </c>
      <c r="C147" t="str">
        <f>HYPERLINK("https://tap.az/elanlar/neqliyyat/avtomobiller/48595345", "Linke kec")</f>
        <v>Linke kec</v>
      </c>
    </row>
    <row r="148" spans="1:3" x14ac:dyDescent="0.3">
      <c r="A148" t="s">
        <v>216</v>
      </c>
      <c r="B148" t="s">
        <v>217</v>
      </c>
      <c r="C148" t="str">
        <f>HYPERLINK("https://tap.az/elanlar/neqliyyat/avtomobiller/48595094", "Linke kec")</f>
        <v>Linke kec</v>
      </c>
    </row>
    <row r="149" spans="1:3" x14ac:dyDescent="0.3">
      <c r="A149" t="s">
        <v>51</v>
      </c>
      <c r="B149" t="s">
        <v>166</v>
      </c>
      <c r="C149" t="str">
        <f>HYPERLINK("https://tap.az/elanlar/neqliyyat/avtomobiller/48594883", "Linke kec")</f>
        <v>Linke kec</v>
      </c>
    </row>
    <row r="150" spans="1:3" x14ac:dyDescent="0.3">
      <c r="A150" t="s">
        <v>218</v>
      </c>
      <c r="B150" t="s">
        <v>18</v>
      </c>
      <c r="C150" t="str">
        <f>HYPERLINK("https://tap.az/elanlar/neqliyyat/avtomobiller/48594860", "Linke kec")</f>
        <v>Linke kec</v>
      </c>
    </row>
    <row r="151" spans="1:3" x14ac:dyDescent="0.3">
      <c r="A151" t="s">
        <v>219</v>
      </c>
      <c r="B151" t="s">
        <v>76</v>
      </c>
      <c r="C151" t="str">
        <f>HYPERLINK("https://tap.az/elanlar/neqliyyat/avtomobiller/48594162", "Linke kec")</f>
        <v>Linke kec</v>
      </c>
    </row>
    <row r="152" spans="1:3" x14ac:dyDescent="0.3">
      <c r="A152" t="s">
        <v>220</v>
      </c>
      <c r="B152" t="s">
        <v>18</v>
      </c>
      <c r="C152" t="str">
        <f>HYPERLINK("https://tap.az/elanlar/neqliyyat/avtomobiller/48593355", "Linke kec")</f>
        <v>Linke kec</v>
      </c>
    </row>
    <row r="153" spans="1:3" x14ac:dyDescent="0.3">
      <c r="A153" t="s">
        <v>221</v>
      </c>
      <c r="B153" t="s">
        <v>166</v>
      </c>
      <c r="C153" t="str">
        <f>HYPERLINK("https://tap.az/elanlar/neqliyyat/avtomobiller/48593197", "Linke kec")</f>
        <v>Linke kec</v>
      </c>
    </row>
    <row r="154" spans="1:3" x14ac:dyDescent="0.3">
      <c r="A154" t="s">
        <v>220</v>
      </c>
      <c r="B154" t="s">
        <v>99</v>
      </c>
      <c r="C154" t="str">
        <f>HYPERLINK("https://tap.az/elanlar/neqliyyat/avtomobiller/48591554", "Linke kec")</f>
        <v>Linke kec</v>
      </c>
    </row>
    <row r="155" spans="1:3" x14ac:dyDescent="0.3">
      <c r="A155" t="s">
        <v>11</v>
      </c>
      <c r="B155" t="s">
        <v>166</v>
      </c>
      <c r="C155" t="str">
        <f>HYPERLINK("https://tap.az/elanlar/neqliyyat/avtomobiller/47088483", "Linke kec")</f>
        <v>Linke kec</v>
      </c>
    </row>
    <row r="156" spans="1:3" x14ac:dyDescent="0.3">
      <c r="A156" t="s">
        <v>107</v>
      </c>
      <c r="B156" t="s">
        <v>222</v>
      </c>
      <c r="C156" t="str">
        <f>HYPERLINK("https://tap.az/elanlar/neqliyyat/avtomobiller/48592465", "Linke kec")</f>
        <v>Linke kec</v>
      </c>
    </row>
    <row r="157" spans="1:3" x14ac:dyDescent="0.3">
      <c r="A157" t="s">
        <v>223</v>
      </c>
      <c r="B157" t="s">
        <v>143</v>
      </c>
      <c r="C157" t="str">
        <f>HYPERLINK("https://tap.az/elanlar/neqliyyat/avtomobiller/48591864", "Linke kec")</f>
        <v>Linke kec</v>
      </c>
    </row>
    <row r="158" spans="1:3" x14ac:dyDescent="0.3">
      <c r="A158" t="s">
        <v>84</v>
      </c>
      <c r="B158" t="s">
        <v>224</v>
      </c>
      <c r="C158" t="str">
        <f>HYPERLINK("https://tap.az/elanlar/neqliyyat/avtomobiller/48591194", "Linke kec")</f>
        <v>Linke kec</v>
      </c>
    </row>
    <row r="159" spans="1:3" x14ac:dyDescent="0.3">
      <c r="A159" t="s">
        <v>225</v>
      </c>
      <c r="B159" t="s">
        <v>226</v>
      </c>
      <c r="C159" t="str">
        <f>HYPERLINK("https://tap.az/elanlar/neqliyyat/avtomobiller/48078103", "Linke kec")</f>
        <v>Linke kec</v>
      </c>
    </row>
    <row r="160" spans="1:3" x14ac:dyDescent="0.3">
      <c r="A160" t="s">
        <v>200</v>
      </c>
      <c r="B160" t="s">
        <v>116</v>
      </c>
      <c r="C160" t="str">
        <f>HYPERLINK("https://tap.az/elanlar/neqliyyat/avtomobiller/48590267", "Linke kec")</f>
        <v>Linke kec</v>
      </c>
    </row>
    <row r="161" spans="1:3" x14ac:dyDescent="0.3">
      <c r="A161" t="s">
        <v>155</v>
      </c>
      <c r="B161" t="s">
        <v>227</v>
      </c>
      <c r="C161" t="str">
        <f>HYPERLINK("https://tap.az/elanlar/neqliyyat/avtomobiller/48590264", "Linke kec")</f>
        <v>Linke kec</v>
      </c>
    </row>
    <row r="162" spans="1:3" x14ac:dyDescent="0.3">
      <c r="A162" t="s">
        <v>228</v>
      </c>
      <c r="B162" t="s">
        <v>143</v>
      </c>
      <c r="C162" t="str">
        <f>HYPERLINK("https://tap.az/elanlar/neqliyyat/avtomobiller/48590242", "Linke kec")</f>
        <v>Linke kec</v>
      </c>
    </row>
    <row r="163" spans="1:3" x14ac:dyDescent="0.3">
      <c r="A163" t="s">
        <v>172</v>
      </c>
      <c r="B163" t="s">
        <v>137</v>
      </c>
      <c r="C163" t="str">
        <f>HYPERLINK("https://tap.az/elanlar/neqliyyat/avtomobiller/47130207", "Linke kec")</f>
        <v>Linke kec</v>
      </c>
    </row>
    <row r="164" spans="1:3" x14ac:dyDescent="0.3">
      <c r="A164" t="s">
        <v>37</v>
      </c>
      <c r="B164" t="s">
        <v>229</v>
      </c>
      <c r="C164" t="str">
        <f>HYPERLINK("https://tap.az/elanlar/neqliyyat/avtomobiller/48585374", "Linke kec")</f>
        <v>Linke kec</v>
      </c>
    </row>
    <row r="165" spans="1:3" x14ac:dyDescent="0.3">
      <c r="A165" t="s">
        <v>230</v>
      </c>
      <c r="B165" t="s">
        <v>192</v>
      </c>
      <c r="C165" t="str">
        <f>HYPERLINK("https://tap.az/elanlar/neqliyyat/avtomobiller/48241671", "Linke kec")</f>
        <v>Linke kec</v>
      </c>
    </row>
    <row r="166" spans="1:3" x14ac:dyDescent="0.3">
      <c r="A166" t="s">
        <v>231</v>
      </c>
      <c r="B166" t="s">
        <v>58</v>
      </c>
      <c r="C166" t="str">
        <f>HYPERLINK("https://tap.az/elanlar/neqliyyat/avtomobiller/48477444", "Linke kec")</f>
        <v>Linke kec</v>
      </c>
    </row>
    <row r="167" spans="1:3" x14ac:dyDescent="0.3">
      <c r="A167" t="s">
        <v>232</v>
      </c>
      <c r="B167" t="s">
        <v>233</v>
      </c>
      <c r="C167" t="str">
        <f>HYPERLINK("https://tap.az/elanlar/neqliyyat/avtomobiller/48589319", "Linke kec")</f>
        <v>Linke kec</v>
      </c>
    </row>
    <row r="168" spans="1:3" x14ac:dyDescent="0.3">
      <c r="A168" t="s">
        <v>113</v>
      </c>
      <c r="B168" t="s">
        <v>70</v>
      </c>
      <c r="C168" t="str">
        <f>HYPERLINK("https://tap.az/elanlar/neqliyyat/avtomobiller/48461144", "Linke kec")</f>
        <v>Linke kec</v>
      </c>
    </row>
    <row r="169" spans="1:3" x14ac:dyDescent="0.3">
      <c r="A169" t="s">
        <v>181</v>
      </c>
      <c r="B169" t="s">
        <v>234</v>
      </c>
      <c r="C169" t="str">
        <f>HYPERLINK("https://tap.az/elanlar/neqliyyat/avtomobiller/48588786", "Linke kec")</f>
        <v>Linke kec</v>
      </c>
    </row>
    <row r="170" spans="1:3" x14ac:dyDescent="0.3">
      <c r="A170" t="s">
        <v>235</v>
      </c>
      <c r="B170" t="s">
        <v>4</v>
      </c>
      <c r="C170" t="str">
        <f>HYPERLINK("https://tap.az/elanlar/neqliyyat/avtomobiller/48588684", "Linke kec")</f>
        <v>Linke kec</v>
      </c>
    </row>
    <row r="171" spans="1:3" x14ac:dyDescent="0.3">
      <c r="A171" t="s">
        <v>236</v>
      </c>
      <c r="B171" t="s">
        <v>237</v>
      </c>
      <c r="C171" t="str">
        <f>HYPERLINK("https://tap.az/elanlar/neqliyyat/avtomobiller/48588559", "Linke kec")</f>
        <v>Linke kec</v>
      </c>
    </row>
    <row r="172" spans="1:3" x14ac:dyDescent="0.3">
      <c r="A172" t="s">
        <v>238</v>
      </c>
      <c r="B172" t="s">
        <v>112</v>
      </c>
      <c r="C172" t="str">
        <f>HYPERLINK("https://tap.az/elanlar/neqliyyat/avtomobiller/48587456", "Linke kec")</f>
        <v>Linke kec</v>
      </c>
    </row>
    <row r="173" spans="1:3" x14ac:dyDescent="0.3">
      <c r="A173" t="s">
        <v>128</v>
      </c>
      <c r="B173" t="s">
        <v>239</v>
      </c>
      <c r="C173" t="str">
        <f>HYPERLINK("https://tap.az/elanlar/neqliyyat/avtomobiller/48586314", "Linke kec")</f>
        <v>Linke kec</v>
      </c>
    </row>
    <row r="174" spans="1:3" x14ac:dyDescent="0.3">
      <c r="A174" t="s">
        <v>146</v>
      </c>
      <c r="B174" t="s">
        <v>114</v>
      </c>
      <c r="C174" t="str">
        <f>HYPERLINK("https://tap.az/elanlar/neqliyyat/avtomobiller/47793283", "Linke kec")</f>
        <v>Linke kec</v>
      </c>
    </row>
    <row r="175" spans="1:3" x14ac:dyDescent="0.3">
      <c r="A175" t="s">
        <v>240</v>
      </c>
      <c r="B175" t="s">
        <v>24</v>
      </c>
      <c r="C175" t="str">
        <f>HYPERLINK("https://tap.az/elanlar/neqliyyat/avtomobiller/48585437", "Linke kec")</f>
        <v>Linke kec</v>
      </c>
    </row>
    <row r="176" spans="1:3" x14ac:dyDescent="0.3">
      <c r="A176" t="s">
        <v>220</v>
      </c>
      <c r="B176" t="s">
        <v>4</v>
      </c>
      <c r="C176" t="str">
        <f>HYPERLINK("https://tap.az/elanlar/neqliyyat/avtomobiller/48585130", "Linke kec")</f>
        <v>Linke kec</v>
      </c>
    </row>
    <row r="177" spans="1:3" x14ac:dyDescent="0.3">
      <c r="A177" t="s">
        <v>200</v>
      </c>
      <c r="B177" t="s">
        <v>241</v>
      </c>
      <c r="C177" t="str">
        <f>HYPERLINK("https://tap.az/elanlar/neqliyyat/avtomobiller/48584871", "Linke kec")</f>
        <v>Linke kec</v>
      </c>
    </row>
    <row r="178" spans="1:3" x14ac:dyDescent="0.3">
      <c r="A178" t="s">
        <v>19</v>
      </c>
      <c r="B178" t="s">
        <v>108</v>
      </c>
      <c r="C178" t="str">
        <f>HYPERLINK("https://tap.az/elanlar/neqliyyat/avtomobiller/48584612", "Linke kec")</f>
        <v>Linke kec</v>
      </c>
    </row>
    <row r="179" spans="1:3" x14ac:dyDescent="0.3">
      <c r="A179" t="s">
        <v>11</v>
      </c>
      <c r="B179" t="s">
        <v>127</v>
      </c>
      <c r="C179" t="str">
        <f>HYPERLINK("https://tap.az/elanlar/neqliyyat/avtomobiller/48584598", "Linke kec")</f>
        <v>Linke kec</v>
      </c>
    </row>
    <row r="180" spans="1:3" x14ac:dyDescent="0.3">
      <c r="A180" t="s">
        <v>242</v>
      </c>
      <c r="B180" t="s">
        <v>166</v>
      </c>
      <c r="C180" t="str">
        <f>HYPERLINK("https://tap.az/elanlar/neqliyyat/avtomobiller/48584514", "Linke kec")</f>
        <v>Linke kec</v>
      </c>
    </row>
    <row r="181" spans="1:3" x14ac:dyDescent="0.3">
      <c r="A181" t="s">
        <v>243</v>
      </c>
      <c r="B181" t="s">
        <v>46</v>
      </c>
      <c r="C181" t="str">
        <f>HYPERLINK("https://tap.az/elanlar/neqliyyat/avtomobiller/48584489", "Linke kec")</f>
        <v>Linke kec</v>
      </c>
    </row>
    <row r="182" spans="1:3" x14ac:dyDescent="0.3">
      <c r="A182" t="s">
        <v>9</v>
      </c>
      <c r="B182" t="s">
        <v>244</v>
      </c>
      <c r="C182" t="str">
        <f>HYPERLINK("https://tap.az/elanlar/neqliyyat/avtomobiller/48328307", "Linke kec")</f>
        <v>Linke kec</v>
      </c>
    </row>
    <row r="183" spans="1:3" x14ac:dyDescent="0.3">
      <c r="A183" t="s">
        <v>67</v>
      </c>
      <c r="B183" t="s">
        <v>68</v>
      </c>
      <c r="C183" t="str">
        <f>HYPERLINK("https://tap.az/elanlar/neqliyyat/avtomobiller/48583552", "Linke kec")</f>
        <v>Linke kec</v>
      </c>
    </row>
    <row r="184" spans="1:3" x14ac:dyDescent="0.3">
      <c r="A184" t="s">
        <v>245</v>
      </c>
      <c r="B184" t="s">
        <v>58</v>
      </c>
      <c r="C184" t="str">
        <f>HYPERLINK("https://tap.az/elanlar/neqliyyat/avtomobiller/48583364", "Linke kec")</f>
        <v>Linke kec</v>
      </c>
    </row>
    <row r="185" spans="1:3" x14ac:dyDescent="0.3">
      <c r="A185" t="s">
        <v>246</v>
      </c>
      <c r="B185" t="s">
        <v>247</v>
      </c>
      <c r="C185" t="str">
        <f>HYPERLINK("https://tap.az/elanlar/neqliyyat/avtomobiller/48482515", "Linke kec")</f>
        <v>Linke kec</v>
      </c>
    </row>
    <row r="186" spans="1:3" x14ac:dyDescent="0.3">
      <c r="A186" t="s">
        <v>248</v>
      </c>
      <c r="B186" t="s">
        <v>197</v>
      </c>
      <c r="C186" t="str">
        <f>HYPERLINK("https://tap.az/elanlar/neqliyyat/avtomobiller/48582506", "Linke kec")</f>
        <v>Linke kec</v>
      </c>
    </row>
    <row r="187" spans="1:3" x14ac:dyDescent="0.3">
      <c r="A187" t="s">
        <v>221</v>
      </c>
      <c r="B187" t="s">
        <v>249</v>
      </c>
      <c r="C187" t="str">
        <f>HYPERLINK("https://tap.az/elanlar/neqliyyat/avtomobiller/29524584", "Linke kec")</f>
        <v>Linke kec</v>
      </c>
    </row>
    <row r="188" spans="1:3" x14ac:dyDescent="0.3">
      <c r="A188" t="s">
        <v>250</v>
      </c>
      <c r="B188" t="s">
        <v>187</v>
      </c>
      <c r="C188" t="str">
        <f>HYPERLINK("https://tap.az/elanlar/neqliyyat/avtomobiller/48582092", "Linke kec")</f>
        <v>Linke kec</v>
      </c>
    </row>
    <row r="189" spans="1:3" x14ac:dyDescent="0.3">
      <c r="A189" t="s">
        <v>251</v>
      </c>
      <c r="B189" t="s">
        <v>199</v>
      </c>
      <c r="C189" t="str">
        <f>HYPERLINK("https://tap.az/elanlar/neqliyyat/avtomobiller/48546974", "Linke kec")</f>
        <v>Linke kec</v>
      </c>
    </row>
    <row r="190" spans="1:3" x14ac:dyDescent="0.3">
      <c r="A190" t="s">
        <v>252</v>
      </c>
      <c r="B190" t="s">
        <v>253</v>
      </c>
      <c r="C190" t="str">
        <f>HYPERLINK("https://tap.az/elanlar/neqliyyat/avtomobiller/48581977", "Linke kec")</f>
        <v>Linke kec</v>
      </c>
    </row>
    <row r="191" spans="1:3" x14ac:dyDescent="0.3">
      <c r="A191" t="s">
        <v>77</v>
      </c>
      <c r="B191" t="s">
        <v>254</v>
      </c>
      <c r="C191" t="str">
        <f>HYPERLINK("https://tap.az/elanlar/neqliyyat/avtomobiller/48581367", "Linke kec")</f>
        <v>Linke kec</v>
      </c>
    </row>
    <row r="192" spans="1:3" x14ac:dyDescent="0.3">
      <c r="A192" t="s">
        <v>255</v>
      </c>
      <c r="B192" t="s">
        <v>256</v>
      </c>
      <c r="C192" t="str">
        <f>HYPERLINK("https://tap.az/elanlar/neqliyyat/avtomobiller/48581255", "Linke kec")</f>
        <v>Linke kec</v>
      </c>
    </row>
    <row r="193" spans="1:3" x14ac:dyDescent="0.3">
      <c r="A193" t="s">
        <v>257</v>
      </c>
      <c r="B193" t="s">
        <v>258</v>
      </c>
      <c r="C193" t="str">
        <f>HYPERLINK("https://tap.az/elanlar/neqliyyat/avtomobiller/47760275", "Linke kec")</f>
        <v>Linke kec</v>
      </c>
    </row>
    <row r="194" spans="1:3" x14ac:dyDescent="0.3">
      <c r="A194" t="s">
        <v>200</v>
      </c>
      <c r="B194" t="s">
        <v>259</v>
      </c>
      <c r="C194" t="str">
        <f>HYPERLINK("https://tap.az/elanlar/neqliyyat/avtomobiller/48432954", "Linke kec")</f>
        <v>Linke kec</v>
      </c>
    </row>
    <row r="195" spans="1:3" x14ac:dyDescent="0.3">
      <c r="A195" t="s">
        <v>260</v>
      </c>
      <c r="B195" t="s">
        <v>261</v>
      </c>
      <c r="C195" t="str">
        <f>HYPERLINK("https://tap.az/elanlar/neqliyyat/avtomobiller/46811346", "Linke kec")</f>
        <v>Linke kec</v>
      </c>
    </row>
    <row r="196" spans="1:3" x14ac:dyDescent="0.3">
      <c r="A196" t="s">
        <v>190</v>
      </c>
      <c r="B196" t="s">
        <v>122</v>
      </c>
      <c r="C196" t="str">
        <f>HYPERLINK("https://tap.az/elanlar/neqliyyat/avtomobiller/48580189", "Linke kec")</f>
        <v>Linke kec</v>
      </c>
    </row>
    <row r="197" spans="1:3" x14ac:dyDescent="0.3">
      <c r="A197" t="s">
        <v>262</v>
      </c>
      <c r="B197" t="s">
        <v>263</v>
      </c>
      <c r="C197" t="str">
        <f>HYPERLINK("https://tap.az/elanlar/neqliyyat/avtomobiller/48580082", "Linke kec")</f>
        <v>Linke kec</v>
      </c>
    </row>
    <row r="198" spans="1:3" x14ac:dyDescent="0.3">
      <c r="A198" t="s">
        <v>77</v>
      </c>
      <c r="B198" t="s">
        <v>264</v>
      </c>
      <c r="C198" t="str">
        <f>HYPERLINK("https://tap.az/elanlar/neqliyyat/avtomobiller/48436083", "Linke kec")</f>
        <v>Linke kec</v>
      </c>
    </row>
    <row r="199" spans="1:3" x14ac:dyDescent="0.3">
      <c r="A199" t="s">
        <v>136</v>
      </c>
      <c r="B199" t="s">
        <v>166</v>
      </c>
      <c r="C199" t="str">
        <f>HYPERLINK("https://tap.az/elanlar/neqliyyat/avtomobiller/48579524", "Linke kec")</f>
        <v>Linke kec</v>
      </c>
    </row>
    <row r="200" spans="1:3" x14ac:dyDescent="0.3">
      <c r="A200" t="s">
        <v>221</v>
      </c>
      <c r="B200" t="s">
        <v>187</v>
      </c>
      <c r="C200" t="str">
        <f>HYPERLINK("https://tap.az/elanlar/neqliyyat/avtomobiller/48445170", "Linke kec")</f>
        <v>Linke kec</v>
      </c>
    </row>
    <row r="201" spans="1:3" x14ac:dyDescent="0.3">
      <c r="A201" t="s">
        <v>265</v>
      </c>
      <c r="B201" t="s">
        <v>137</v>
      </c>
      <c r="C201" t="str">
        <f>HYPERLINK("https://tap.az/elanlar/neqliyyat/avtomobiller/45596918", "Linke kec")</f>
        <v>Linke kec</v>
      </c>
    </row>
    <row r="202" spans="1:3" x14ac:dyDescent="0.3">
      <c r="A202" t="s">
        <v>266</v>
      </c>
      <c r="B202" t="s">
        <v>137</v>
      </c>
      <c r="C202" t="str">
        <f>HYPERLINK("https://tap.az/elanlar/neqliyyat/avtomobiller/48578775", "Linke kec")</f>
        <v>Linke kec</v>
      </c>
    </row>
    <row r="203" spans="1:3" x14ac:dyDescent="0.3">
      <c r="A203" t="s">
        <v>63</v>
      </c>
      <c r="B203" t="s">
        <v>258</v>
      </c>
      <c r="C203" t="str">
        <f>HYPERLINK("https://tap.az/elanlar/neqliyyat/avtomobiller/48578724", "Linke kec")</f>
        <v>Linke kec</v>
      </c>
    </row>
    <row r="204" spans="1:3" x14ac:dyDescent="0.3">
      <c r="A204" t="s">
        <v>11</v>
      </c>
      <c r="B204" t="s">
        <v>267</v>
      </c>
      <c r="C204" t="str">
        <f>HYPERLINK("https://tap.az/elanlar/neqliyyat/avtomobiller/48578661", "Linke kec")</f>
        <v>Linke kec</v>
      </c>
    </row>
    <row r="205" spans="1:3" x14ac:dyDescent="0.3">
      <c r="A205" t="s">
        <v>11</v>
      </c>
      <c r="B205" t="s">
        <v>93</v>
      </c>
      <c r="C205" t="str">
        <f>HYPERLINK("https://tap.az/elanlar/neqliyyat/avtomobiller/48578624", "Linke kec")</f>
        <v>Linke kec</v>
      </c>
    </row>
    <row r="206" spans="1:3" x14ac:dyDescent="0.3">
      <c r="A206" t="s">
        <v>268</v>
      </c>
      <c r="B206" t="s">
        <v>269</v>
      </c>
      <c r="C206" t="str">
        <f>HYPERLINK("https://tap.az/elanlar/neqliyyat/avtomobiller/48002024", "Linke kec")</f>
        <v>Linke kec</v>
      </c>
    </row>
    <row r="207" spans="1:3" x14ac:dyDescent="0.3">
      <c r="A207" t="s">
        <v>270</v>
      </c>
      <c r="B207" t="s">
        <v>8</v>
      </c>
      <c r="C207" t="str">
        <f>HYPERLINK("https://tap.az/elanlar/neqliyyat/avtomobiller/48577886", "Linke kec")</f>
        <v>Linke kec</v>
      </c>
    </row>
    <row r="208" spans="1:3" x14ac:dyDescent="0.3">
      <c r="A208" t="s">
        <v>271</v>
      </c>
      <c r="B208" t="s">
        <v>166</v>
      </c>
      <c r="C208" t="str">
        <f>HYPERLINK("https://tap.az/elanlar/neqliyyat/avtomobiller/48577705", "Linke kec")</f>
        <v>Linke kec</v>
      </c>
    </row>
    <row r="209" spans="1:3" x14ac:dyDescent="0.3">
      <c r="A209" t="s">
        <v>173</v>
      </c>
      <c r="B209" t="s">
        <v>272</v>
      </c>
      <c r="C209" t="str">
        <f>HYPERLINK("https://tap.az/elanlar/neqliyyat/avtomobiller/48577494", "Linke kec")</f>
        <v>Linke kec</v>
      </c>
    </row>
    <row r="210" spans="1:3" x14ac:dyDescent="0.3">
      <c r="A210" t="s">
        <v>37</v>
      </c>
      <c r="B210" t="s">
        <v>273</v>
      </c>
      <c r="C210" t="str">
        <f>HYPERLINK("https://tap.az/elanlar/neqliyyat/avtomobiller/48577247", "Linke kec")</f>
        <v>Linke kec</v>
      </c>
    </row>
    <row r="211" spans="1:3" x14ac:dyDescent="0.3">
      <c r="A211" t="s">
        <v>274</v>
      </c>
      <c r="B211" t="s">
        <v>275</v>
      </c>
      <c r="C211" t="str">
        <f>HYPERLINK("https://tap.az/elanlar/neqliyyat/avtomobiller/48576927", "Linke kec")</f>
        <v>Linke kec</v>
      </c>
    </row>
    <row r="212" spans="1:3" x14ac:dyDescent="0.3">
      <c r="A212" t="s">
        <v>276</v>
      </c>
      <c r="B212" t="s">
        <v>14</v>
      </c>
      <c r="C212" t="str">
        <f>HYPERLINK("https://tap.az/elanlar/neqliyyat/avtomobiller/48576925", "Linke kec")</f>
        <v>Linke kec</v>
      </c>
    </row>
    <row r="213" spans="1:3" x14ac:dyDescent="0.3">
      <c r="A213" t="s">
        <v>155</v>
      </c>
      <c r="B213" t="s">
        <v>277</v>
      </c>
      <c r="C213" t="str">
        <f>HYPERLINK("https://tap.az/elanlar/neqliyyat/avtomobiller/48576746", "Linke kec")</f>
        <v>Linke kec</v>
      </c>
    </row>
    <row r="214" spans="1:3" x14ac:dyDescent="0.3">
      <c r="A214" t="s">
        <v>173</v>
      </c>
      <c r="B214" t="s">
        <v>207</v>
      </c>
      <c r="C214" t="str">
        <f>HYPERLINK("https://tap.az/elanlar/neqliyyat/avtomobiller/48576732", "Linke kec")</f>
        <v>Linke kec</v>
      </c>
    </row>
    <row r="215" spans="1:3" x14ac:dyDescent="0.3">
      <c r="A215" t="s">
        <v>43</v>
      </c>
      <c r="B215" t="s">
        <v>278</v>
      </c>
      <c r="C215" t="str">
        <f>HYPERLINK("https://tap.az/elanlar/neqliyyat/avtomobiller/48576537", "Linke kec")</f>
        <v>Linke kec</v>
      </c>
    </row>
    <row r="216" spans="1:3" x14ac:dyDescent="0.3">
      <c r="A216" t="s">
        <v>279</v>
      </c>
      <c r="B216" t="s">
        <v>280</v>
      </c>
      <c r="C216" t="str">
        <f>HYPERLINK("https://tap.az/elanlar/neqliyyat/avtomobiller/48576485", "Linke kec")</f>
        <v>Linke kec</v>
      </c>
    </row>
    <row r="217" spans="1:3" x14ac:dyDescent="0.3">
      <c r="A217" t="s">
        <v>43</v>
      </c>
      <c r="B217" t="s">
        <v>281</v>
      </c>
      <c r="C217" t="str">
        <f>HYPERLINK("https://tap.az/elanlar/neqliyyat/avtomobiller/48576464", "Linke kec")</f>
        <v>Linke kec</v>
      </c>
    </row>
    <row r="218" spans="1:3" x14ac:dyDescent="0.3">
      <c r="A218" t="s">
        <v>282</v>
      </c>
      <c r="B218" t="s">
        <v>283</v>
      </c>
      <c r="C218" t="str">
        <f>HYPERLINK("https://tap.az/elanlar/neqliyyat/avtomobiller/48575377", "Linke kec")</f>
        <v>Linke kec</v>
      </c>
    </row>
    <row r="219" spans="1:3" x14ac:dyDescent="0.3">
      <c r="A219" t="s">
        <v>190</v>
      </c>
      <c r="B219" t="s">
        <v>284</v>
      </c>
      <c r="C219" t="str">
        <f>HYPERLINK("https://tap.az/elanlar/neqliyyat/avtomobiller/47311447", "Linke kec")</f>
        <v>Linke kec</v>
      </c>
    </row>
    <row r="220" spans="1:3" x14ac:dyDescent="0.3">
      <c r="A220" t="s">
        <v>252</v>
      </c>
      <c r="B220" t="s">
        <v>285</v>
      </c>
      <c r="C220" t="str">
        <f>HYPERLINK("https://tap.az/elanlar/neqliyyat/avtomobiller/47558387", "Linke kec")</f>
        <v>Linke kec</v>
      </c>
    </row>
    <row r="221" spans="1:3" x14ac:dyDescent="0.3">
      <c r="A221" t="s">
        <v>286</v>
      </c>
      <c r="B221" t="s">
        <v>137</v>
      </c>
      <c r="C221" t="str">
        <f>HYPERLINK("https://tap.az/elanlar/neqliyyat/avtomobiller/48573385", "Linke kec")</f>
        <v>Linke kec</v>
      </c>
    </row>
    <row r="222" spans="1:3" x14ac:dyDescent="0.3">
      <c r="A222" t="s">
        <v>190</v>
      </c>
      <c r="B222" t="s">
        <v>287</v>
      </c>
      <c r="C222" t="str">
        <f>HYPERLINK("https://tap.az/elanlar/neqliyyat/avtomobiller/48573220", "Linke kec")</f>
        <v>Linke kec</v>
      </c>
    </row>
    <row r="223" spans="1:3" x14ac:dyDescent="0.3">
      <c r="A223" t="s">
        <v>37</v>
      </c>
      <c r="B223" t="s">
        <v>70</v>
      </c>
      <c r="C223" t="str">
        <f>HYPERLINK("https://tap.az/elanlar/neqliyyat/avtomobiller/48573140", "Linke kec")</f>
        <v>Linke kec</v>
      </c>
    </row>
    <row r="224" spans="1:3" x14ac:dyDescent="0.3">
      <c r="A224" t="s">
        <v>128</v>
      </c>
      <c r="B224" t="s">
        <v>267</v>
      </c>
      <c r="C224" t="str">
        <f>HYPERLINK("https://tap.az/elanlar/neqliyyat/avtomobiller/47775848", "Linke kec")</f>
        <v>Linke kec</v>
      </c>
    </row>
    <row r="225" spans="1:3" x14ac:dyDescent="0.3">
      <c r="A225" t="s">
        <v>107</v>
      </c>
      <c r="B225" t="s">
        <v>177</v>
      </c>
      <c r="C225" t="str">
        <f>HYPERLINK("https://tap.az/elanlar/neqliyyat/avtomobiller/47719753", "Linke kec")</f>
        <v>Linke kec</v>
      </c>
    </row>
    <row r="226" spans="1:3" x14ac:dyDescent="0.3">
      <c r="A226" t="s">
        <v>130</v>
      </c>
      <c r="B226" t="s">
        <v>288</v>
      </c>
      <c r="C226" t="str">
        <f>HYPERLINK("https://tap.az/elanlar/neqliyyat/avtomobiller/48572952", "Linke kec")</f>
        <v>Linke kec</v>
      </c>
    </row>
    <row r="227" spans="1:3" x14ac:dyDescent="0.3">
      <c r="A227" t="s">
        <v>45</v>
      </c>
      <c r="B227" t="s">
        <v>289</v>
      </c>
      <c r="C227" t="str">
        <f>HYPERLINK("https://tap.az/elanlar/neqliyyat/avtomobiller/48572914", "Linke kec")</f>
        <v>Linke kec</v>
      </c>
    </row>
    <row r="228" spans="1:3" x14ac:dyDescent="0.3">
      <c r="A228" t="s">
        <v>240</v>
      </c>
      <c r="B228" t="s">
        <v>139</v>
      </c>
      <c r="C228" t="str">
        <f>HYPERLINK("https://tap.az/elanlar/neqliyyat/avtomobiller/48572856", "Linke kec")</f>
        <v>Linke kec</v>
      </c>
    </row>
    <row r="229" spans="1:3" x14ac:dyDescent="0.3">
      <c r="A229" t="s">
        <v>290</v>
      </c>
      <c r="B229" t="s">
        <v>70</v>
      </c>
      <c r="C229" t="str">
        <f>HYPERLINK("https://tap.az/elanlar/neqliyyat/avtomobiller/48572660", "Linke kec")</f>
        <v>Linke kec</v>
      </c>
    </row>
    <row r="230" spans="1:3" x14ac:dyDescent="0.3">
      <c r="A230" t="s">
        <v>291</v>
      </c>
      <c r="B230" t="s">
        <v>4</v>
      </c>
      <c r="C230" t="str">
        <f>HYPERLINK("https://tap.az/elanlar/neqliyyat/avtomobiller/48572181", "Linke kec")</f>
        <v>Linke kec</v>
      </c>
    </row>
    <row r="231" spans="1:3" x14ac:dyDescent="0.3">
      <c r="A231" t="s">
        <v>292</v>
      </c>
      <c r="B231" t="s">
        <v>258</v>
      </c>
      <c r="C231" t="str">
        <f>HYPERLINK("https://tap.az/elanlar/neqliyyat/avtomobiller/48552127", "Linke kec")</f>
        <v>Linke kec</v>
      </c>
    </row>
    <row r="232" spans="1:3" x14ac:dyDescent="0.3">
      <c r="A232" t="s">
        <v>293</v>
      </c>
      <c r="B232" t="s">
        <v>198</v>
      </c>
      <c r="C232" t="str">
        <f>HYPERLINK("https://tap.az/elanlar/neqliyyat/avtomobiller/47380887", "Linke kec")</f>
        <v>Linke kec</v>
      </c>
    </row>
    <row r="233" spans="1:3" x14ac:dyDescent="0.3">
      <c r="A233" t="s">
        <v>9</v>
      </c>
      <c r="B233" t="s">
        <v>229</v>
      </c>
      <c r="C233" t="str">
        <f>HYPERLINK("https://tap.az/elanlar/neqliyyat/avtomobiller/48078779", "Linke kec")</f>
        <v>Linke kec</v>
      </c>
    </row>
    <row r="234" spans="1:3" x14ac:dyDescent="0.3">
      <c r="A234" t="s">
        <v>294</v>
      </c>
      <c r="B234" t="s">
        <v>295</v>
      </c>
      <c r="C234" t="str">
        <f>HYPERLINK("https://tap.az/elanlar/neqliyyat/avtomobiller/48571680", "Linke kec")</f>
        <v>Linke kec</v>
      </c>
    </row>
    <row r="235" spans="1:3" x14ac:dyDescent="0.3">
      <c r="A235" t="s">
        <v>296</v>
      </c>
      <c r="B235" t="s">
        <v>10</v>
      </c>
      <c r="C235" t="str">
        <f>HYPERLINK("https://tap.az/elanlar/neqliyyat/avtomobiller/47508145", "Linke kec")</f>
        <v>Linke kec</v>
      </c>
    </row>
    <row r="236" spans="1:3" x14ac:dyDescent="0.3">
      <c r="A236" t="s">
        <v>297</v>
      </c>
      <c r="B236" t="s">
        <v>298</v>
      </c>
      <c r="C236" t="str">
        <f>HYPERLINK("https://tap.az/elanlar/neqliyyat/avtomobiller/48571201", "Linke kec")</f>
        <v>Linke kec</v>
      </c>
    </row>
    <row r="237" spans="1:3" x14ac:dyDescent="0.3">
      <c r="A237" t="s">
        <v>299</v>
      </c>
      <c r="B237" t="s">
        <v>300</v>
      </c>
      <c r="C237" t="str">
        <f>HYPERLINK("https://tap.az/elanlar/neqliyyat/avtomobiller/48570969", "Linke kec")</f>
        <v>Linke kec</v>
      </c>
    </row>
    <row r="238" spans="1:3" x14ac:dyDescent="0.3">
      <c r="A238" t="s">
        <v>67</v>
      </c>
      <c r="B238" t="s">
        <v>151</v>
      </c>
      <c r="C238" t="str">
        <f>HYPERLINK("https://tap.az/elanlar/neqliyyat/avtomobiller/48570795", "Linke kec")</f>
        <v>Linke kec</v>
      </c>
    </row>
    <row r="239" spans="1:3" x14ac:dyDescent="0.3">
      <c r="A239" t="s">
        <v>155</v>
      </c>
      <c r="B239" t="s">
        <v>124</v>
      </c>
      <c r="C239" t="str">
        <f>HYPERLINK("https://tap.az/elanlar/neqliyyat/avtomobiller/48570469", "Linke kec")</f>
        <v>Linke kec</v>
      </c>
    </row>
    <row r="240" spans="1:3" x14ac:dyDescent="0.3">
      <c r="A240" t="s">
        <v>250</v>
      </c>
      <c r="B240" t="s">
        <v>187</v>
      </c>
      <c r="C240" t="str">
        <f>HYPERLINK("https://tap.az/elanlar/neqliyyat/avtomobiller/48569887", "Linke kec")</f>
        <v>Linke kec</v>
      </c>
    </row>
    <row r="241" spans="1:3" x14ac:dyDescent="0.3">
      <c r="A241" t="s">
        <v>243</v>
      </c>
      <c r="B241" t="s">
        <v>90</v>
      </c>
      <c r="C241" t="str">
        <f>HYPERLINK("https://tap.az/elanlar/neqliyyat/avtomobiller/48569660", "Linke kec")</f>
        <v>Linke kec</v>
      </c>
    </row>
    <row r="242" spans="1:3" x14ac:dyDescent="0.3">
      <c r="A242" t="s">
        <v>223</v>
      </c>
      <c r="B242" t="s">
        <v>289</v>
      </c>
      <c r="C242" t="str">
        <f>HYPERLINK("https://tap.az/elanlar/neqliyyat/avtomobiller/48569539", "Linke kec")</f>
        <v>Linke kec</v>
      </c>
    </row>
    <row r="243" spans="1:3" x14ac:dyDescent="0.3">
      <c r="A243" t="s">
        <v>63</v>
      </c>
      <c r="B243" t="s">
        <v>129</v>
      </c>
      <c r="C243" t="str">
        <f>HYPERLINK("https://tap.az/elanlar/neqliyyat/avtomobiller/48569409", "Linke kec")</f>
        <v>Linke kec</v>
      </c>
    </row>
    <row r="244" spans="1:3" x14ac:dyDescent="0.3">
      <c r="A244" t="s">
        <v>301</v>
      </c>
      <c r="B244" t="s">
        <v>14</v>
      </c>
      <c r="C244" t="str">
        <f>HYPERLINK("https://tap.az/elanlar/neqliyyat/avtomobiller/48568871", "Linke kec")</f>
        <v>Linke kec</v>
      </c>
    </row>
    <row r="245" spans="1:3" x14ac:dyDescent="0.3">
      <c r="A245" t="s">
        <v>302</v>
      </c>
      <c r="B245" t="s">
        <v>303</v>
      </c>
      <c r="C245" t="str">
        <f>HYPERLINK("https://tap.az/elanlar/neqliyyat/avtomobiller/48308037", "Linke kec")</f>
        <v>Linke kec</v>
      </c>
    </row>
    <row r="246" spans="1:3" x14ac:dyDescent="0.3">
      <c r="A246" t="s">
        <v>266</v>
      </c>
      <c r="B246" t="s">
        <v>8</v>
      </c>
      <c r="C246" t="str">
        <f>HYPERLINK("https://tap.az/elanlar/neqliyyat/avtomobiller/48568350", "Linke kec")</f>
        <v>Linke kec</v>
      </c>
    </row>
    <row r="247" spans="1:3" x14ac:dyDescent="0.3">
      <c r="A247" t="s">
        <v>31</v>
      </c>
      <c r="B247" t="s">
        <v>66</v>
      </c>
      <c r="C247" t="str">
        <f>HYPERLINK("https://tap.az/elanlar/neqliyyat/avtomobiller/48568014", "Linke kec")</f>
        <v>Linke kec</v>
      </c>
    </row>
    <row r="248" spans="1:3" x14ac:dyDescent="0.3">
      <c r="A248" t="s">
        <v>223</v>
      </c>
      <c r="B248" t="s">
        <v>304</v>
      </c>
      <c r="C248" t="str">
        <f>HYPERLINK("https://tap.az/elanlar/neqliyyat/avtomobiller/48567651", "Linke kec")</f>
        <v>Linke kec</v>
      </c>
    </row>
    <row r="249" spans="1:3" x14ac:dyDescent="0.3">
      <c r="A249" t="s">
        <v>305</v>
      </c>
      <c r="B249" t="s">
        <v>306</v>
      </c>
      <c r="C249" t="str">
        <f>HYPERLINK("https://tap.az/elanlar/neqliyyat/avtomobiller/48144340", "Linke kec")</f>
        <v>Linke kec</v>
      </c>
    </row>
    <row r="250" spans="1:3" x14ac:dyDescent="0.3">
      <c r="A250" t="s">
        <v>91</v>
      </c>
      <c r="B250" t="s">
        <v>116</v>
      </c>
      <c r="C250" t="str">
        <f>HYPERLINK("https://tap.az/elanlar/neqliyyat/avtomobiller/48567514", "Linke kec")</f>
        <v>Linke kec</v>
      </c>
    </row>
    <row r="251" spans="1:3" x14ac:dyDescent="0.3">
      <c r="A251" t="s">
        <v>123</v>
      </c>
      <c r="B251" t="s">
        <v>259</v>
      </c>
      <c r="C251" t="str">
        <f>HYPERLINK("https://tap.az/elanlar/neqliyyat/avtomobiller/48567192", "Linke kec")</f>
        <v>Linke kec</v>
      </c>
    </row>
    <row r="252" spans="1:3" x14ac:dyDescent="0.3">
      <c r="A252" t="s">
        <v>307</v>
      </c>
      <c r="B252" t="s">
        <v>52</v>
      </c>
      <c r="C252" t="str">
        <f>HYPERLINK("https://tap.az/elanlar/neqliyyat/avtomobiller/48566951", "Linke kec")</f>
        <v>Linke kec</v>
      </c>
    </row>
    <row r="253" spans="1:3" x14ac:dyDescent="0.3">
      <c r="A253" t="s">
        <v>245</v>
      </c>
      <c r="B253" t="s">
        <v>204</v>
      </c>
      <c r="C253" t="str">
        <f>HYPERLINK("https://tap.az/elanlar/neqliyyat/avtomobiller/48566750", "Linke kec")</f>
        <v>Linke kec</v>
      </c>
    </row>
    <row r="254" spans="1:3" x14ac:dyDescent="0.3">
      <c r="A254" t="s">
        <v>292</v>
      </c>
      <c r="B254" t="s">
        <v>129</v>
      </c>
      <c r="C254" t="str">
        <f>HYPERLINK("https://tap.az/elanlar/neqliyyat/avtomobiller/48566622", "Linke kec")</f>
        <v>Linke kec</v>
      </c>
    </row>
    <row r="255" spans="1:3" x14ac:dyDescent="0.3">
      <c r="A255" t="s">
        <v>73</v>
      </c>
      <c r="B255" t="s">
        <v>226</v>
      </c>
      <c r="C255" t="str">
        <f>HYPERLINK("https://tap.az/elanlar/neqliyyat/avtomobiller/48566523", "Linke kec")</f>
        <v>Linke kec</v>
      </c>
    </row>
    <row r="256" spans="1:3" x14ac:dyDescent="0.3">
      <c r="A256" t="s">
        <v>308</v>
      </c>
      <c r="B256" t="s">
        <v>79</v>
      </c>
      <c r="C256" t="str">
        <f>HYPERLINK("https://tap.az/elanlar/neqliyyat/avtomobiller/48434386", "Linke kec")</f>
        <v>Linke kec</v>
      </c>
    </row>
    <row r="257" spans="1:3" x14ac:dyDescent="0.3">
      <c r="A257" t="s">
        <v>17</v>
      </c>
      <c r="B257" t="s">
        <v>81</v>
      </c>
      <c r="C257" t="str">
        <f>HYPERLINK("https://tap.az/elanlar/neqliyyat/avtomobiller/48565633", "Linke kec")</f>
        <v>Linke kec</v>
      </c>
    </row>
    <row r="258" spans="1:3" x14ac:dyDescent="0.3">
      <c r="A258" t="s">
        <v>67</v>
      </c>
      <c r="B258" t="s">
        <v>197</v>
      </c>
      <c r="C258" t="str">
        <f>HYPERLINK("https://tap.az/elanlar/neqliyyat/avtomobiller/48565238", "Linke kec")</f>
        <v>Linke kec</v>
      </c>
    </row>
    <row r="259" spans="1:3" x14ac:dyDescent="0.3">
      <c r="A259" t="s">
        <v>309</v>
      </c>
      <c r="B259" t="s">
        <v>310</v>
      </c>
      <c r="C259" t="str">
        <f>HYPERLINK("https://tap.az/elanlar/neqliyyat/avtomobiller/48565167", "Linke kec")</f>
        <v>Linke kec</v>
      </c>
    </row>
    <row r="260" spans="1:3" x14ac:dyDescent="0.3">
      <c r="A260" t="s">
        <v>78</v>
      </c>
      <c r="B260" t="s">
        <v>125</v>
      </c>
      <c r="C260" t="str">
        <f>HYPERLINK("https://tap.az/elanlar/neqliyyat/avtomobiller/48564692", "Linke kec")</f>
        <v>Linke kec</v>
      </c>
    </row>
    <row r="261" spans="1:3" x14ac:dyDescent="0.3">
      <c r="A261" t="s">
        <v>190</v>
      </c>
      <c r="B261" t="s">
        <v>185</v>
      </c>
      <c r="C261" t="str">
        <f>HYPERLINK("https://tap.az/elanlar/neqliyyat/avtomobiller/48564660", "Linke kec")</f>
        <v>Linke kec</v>
      </c>
    </row>
    <row r="262" spans="1:3" x14ac:dyDescent="0.3">
      <c r="A262" t="s">
        <v>270</v>
      </c>
      <c r="B262" t="s">
        <v>93</v>
      </c>
      <c r="C262" t="str">
        <f>HYPERLINK("https://tap.az/elanlar/neqliyyat/avtomobiller/48564050", "Linke kec")</f>
        <v>Linke kec</v>
      </c>
    </row>
    <row r="263" spans="1:3" x14ac:dyDescent="0.3">
      <c r="A263" t="s">
        <v>311</v>
      </c>
      <c r="B263" t="s">
        <v>129</v>
      </c>
      <c r="C263" t="str">
        <f>HYPERLINK("https://tap.az/elanlar/neqliyyat/avtomobiller/48563960", "Linke kec")</f>
        <v>Linke kec</v>
      </c>
    </row>
    <row r="264" spans="1:3" x14ac:dyDescent="0.3">
      <c r="A264" t="s">
        <v>312</v>
      </c>
      <c r="B264" t="s">
        <v>46</v>
      </c>
      <c r="C264" t="str">
        <f>HYPERLINK("https://tap.az/elanlar/neqliyyat/avtomobiller/48563966", "Linke kec")</f>
        <v>Linke kec</v>
      </c>
    </row>
    <row r="265" spans="1:3" x14ac:dyDescent="0.3">
      <c r="A265" t="s">
        <v>313</v>
      </c>
      <c r="B265" t="s">
        <v>314</v>
      </c>
      <c r="C265" t="str">
        <f>HYPERLINK("https://tap.az/elanlar/neqliyyat/avtomobiller/48563952", "Linke kec")</f>
        <v>Linke kec</v>
      </c>
    </row>
    <row r="266" spans="1:3" x14ac:dyDescent="0.3">
      <c r="A266" t="s">
        <v>73</v>
      </c>
      <c r="B266" t="s">
        <v>32</v>
      </c>
      <c r="C266" t="str">
        <f>HYPERLINK("https://tap.az/elanlar/neqliyyat/avtomobiller/48563918", "Linke kec")</f>
        <v>Linke kec</v>
      </c>
    </row>
    <row r="267" spans="1:3" x14ac:dyDescent="0.3">
      <c r="A267" t="s">
        <v>315</v>
      </c>
      <c r="B267" t="s">
        <v>66</v>
      </c>
      <c r="C267" t="str">
        <f>HYPERLINK("https://tap.az/elanlar/neqliyyat/avtomobiller/48563857", "Linke kec")</f>
        <v>Linke kec</v>
      </c>
    </row>
    <row r="268" spans="1:3" x14ac:dyDescent="0.3">
      <c r="A268" t="s">
        <v>290</v>
      </c>
      <c r="B268" t="s">
        <v>14</v>
      </c>
      <c r="C268" t="str">
        <f>HYPERLINK("https://tap.az/elanlar/neqliyyat/avtomobiller/48558957", "Linke kec")</f>
        <v>Linke kec</v>
      </c>
    </row>
    <row r="269" spans="1:3" x14ac:dyDescent="0.3">
      <c r="A269" t="s">
        <v>201</v>
      </c>
      <c r="B269" t="s">
        <v>199</v>
      </c>
      <c r="C269" t="str">
        <f>HYPERLINK("https://tap.az/elanlar/neqliyyat/avtomobiller/48563221", "Linke kec")</f>
        <v>Linke kec</v>
      </c>
    </row>
    <row r="270" spans="1:3" x14ac:dyDescent="0.3">
      <c r="A270" t="s">
        <v>316</v>
      </c>
      <c r="B270" t="s">
        <v>90</v>
      </c>
      <c r="C270" t="str">
        <f>HYPERLINK("https://tap.az/elanlar/neqliyyat/avtomobiller/48389895", "Linke kec")</f>
        <v>Linke kec</v>
      </c>
    </row>
    <row r="271" spans="1:3" x14ac:dyDescent="0.3">
      <c r="A271" t="s">
        <v>190</v>
      </c>
      <c r="B271" t="s">
        <v>227</v>
      </c>
      <c r="C271" t="str">
        <f>HYPERLINK("https://tap.az/elanlar/neqliyyat/avtomobiller/46922674", "Linke kec")</f>
        <v>Linke kec</v>
      </c>
    </row>
    <row r="272" spans="1:3" x14ac:dyDescent="0.3">
      <c r="A272" t="s">
        <v>136</v>
      </c>
      <c r="B272" t="s">
        <v>289</v>
      </c>
      <c r="C272" t="str">
        <f>HYPERLINK("https://tap.az/elanlar/neqliyyat/avtomobiller/48562872", "Linke kec")</f>
        <v>Linke kec</v>
      </c>
    </row>
    <row r="273" spans="1:3" x14ac:dyDescent="0.3">
      <c r="A273" t="s">
        <v>19</v>
      </c>
      <c r="B273" t="s">
        <v>62</v>
      </c>
      <c r="C273" t="str">
        <f>HYPERLINK("https://tap.az/elanlar/neqliyyat/avtomobiller/31806896", "Linke kec")</f>
        <v>Linke kec</v>
      </c>
    </row>
    <row r="274" spans="1:3" x14ac:dyDescent="0.3">
      <c r="A274" t="s">
        <v>120</v>
      </c>
      <c r="B274" t="s">
        <v>137</v>
      </c>
      <c r="C274" t="str">
        <f>HYPERLINK("https://tap.az/elanlar/neqliyyat/avtomobiller/47276824", "Linke kec")</f>
        <v>Linke kec</v>
      </c>
    </row>
    <row r="275" spans="1:3" x14ac:dyDescent="0.3">
      <c r="A275" t="s">
        <v>11</v>
      </c>
      <c r="B275" t="s">
        <v>110</v>
      </c>
      <c r="C275" t="str">
        <f>HYPERLINK("https://tap.az/elanlar/neqliyyat/avtomobiller/48562699", "Linke kec")</f>
        <v>Linke kec</v>
      </c>
    </row>
    <row r="276" spans="1:3" x14ac:dyDescent="0.3">
      <c r="A276" t="s">
        <v>55</v>
      </c>
      <c r="B276" t="s">
        <v>317</v>
      </c>
      <c r="C276" t="str">
        <f>HYPERLINK("https://tap.az/elanlar/neqliyyat/avtomobiller/48562034", "Linke kec")</f>
        <v>Linke kec</v>
      </c>
    </row>
    <row r="277" spans="1:3" x14ac:dyDescent="0.3">
      <c r="A277" t="s">
        <v>232</v>
      </c>
      <c r="B277" t="s">
        <v>318</v>
      </c>
      <c r="C277" t="str">
        <f>HYPERLINK("https://tap.az/elanlar/neqliyyat/avtomobiller/48561799", "Linke kec")</f>
        <v>Linke kec</v>
      </c>
    </row>
    <row r="278" spans="1:3" x14ac:dyDescent="0.3">
      <c r="A278" t="s">
        <v>319</v>
      </c>
      <c r="B278" t="s">
        <v>4</v>
      </c>
      <c r="C278" t="str">
        <f>HYPERLINK("https://tap.az/elanlar/neqliyyat/avtomobiller/48561764", "Linke kec")</f>
        <v>Linke kec</v>
      </c>
    </row>
    <row r="279" spans="1:3" x14ac:dyDescent="0.3">
      <c r="A279" t="s">
        <v>311</v>
      </c>
      <c r="B279" t="s">
        <v>116</v>
      </c>
      <c r="C279" t="str">
        <f>HYPERLINK("https://tap.az/elanlar/neqliyyat/avtomobiller/48561679", "Linke kec")</f>
        <v>Linke kec</v>
      </c>
    </row>
    <row r="280" spans="1:3" x14ac:dyDescent="0.3">
      <c r="A280" t="s">
        <v>9</v>
      </c>
      <c r="B280" t="s">
        <v>114</v>
      </c>
      <c r="C280" t="str">
        <f>HYPERLINK("https://tap.az/elanlar/neqliyyat/avtomobiller/48290551", "Linke kec")</f>
        <v>Linke kec</v>
      </c>
    </row>
    <row r="281" spans="1:3" x14ac:dyDescent="0.3">
      <c r="A281" t="s">
        <v>78</v>
      </c>
      <c r="B281" t="s">
        <v>86</v>
      </c>
      <c r="C281" t="str">
        <f>HYPERLINK("https://tap.az/elanlar/neqliyyat/avtomobiller/48561501", "Linke kec")</f>
        <v>Linke kec</v>
      </c>
    </row>
    <row r="282" spans="1:3" x14ac:dyDescent="0.3">
      <c r="A282" t="s">
        <v>320</v>
      </c>
      <c r="B282" t="s">
        <v>197</v>
      </c>
      <c r="C282" t="str">
        <f>HYPERLINK("https://tap.az/elanlar/neqliyyat/avtomobiller/48561224", "Linke kec")</f>
        <v>Linke kec</v>
      </c>
    </row>
    <row r="283" spans="1:3" x14ac:dyDescent="0.3">
      <c r="A283" t="s">
        <v>205</v>
      </c>
      <c r="B283" t="s">
        <v>14</v>
      </c>
      <c r="C283" t="str">
        <f>HYPERLINK("https://tap.az/elanlar/neqliyyat/avtomobiller/48561026", "Linke kec")</f>
        <v>Linke kec</v>
      </c>
    </row>
    <row r="284" spans="1:3" x14ac:dyDescent="0.3">
      <c r="A284" t="s">
        <v>321</v>
      </c>
      <c r="B284" t="s">
        <v>151</v>
      </c>
      <c r="C284" t="str">
        <f>HYPERLINK("https://tap.az/elanlar/neqliyyat/avtomobiller/48560914", "Linke kec")</f>
        <v>Linke kec</v>
      </c>
    </row>
    <row r="285" spans="1:3" x14ac:dyDescent="0.3">
      <c r="A285" t="s">
        <v>136</v>
      </c>
      <c r="B285" t="s">
        <v>187</v>
      </c>
      <c r="C285" t="str">
        <f>HYPERLINK("https://tap.az/elanlar/neqliyyat/avtomobiller/48560839", "Linke kec")</f>
        <v>Linke kec</v>
      </c>
    </row>
    <row r="286" spans="1:3" x14ac:dyDescent="0.3">
      <c r="A286" t="s">
        <v>322</v>
      </c>
      <c r="B286" t="s">
        <v>267</v>
      </c>
      <c r="C286" t="str">
        <f>HYPERLINK("https://tap.az/elanlar/neqliyyat/avtomobiller/48560790", "Linke kec")</f>
        <v>Linke kec</v>
      </c>
    </row>
    <row r="287" spans="1:3" x14ac:dyDescent="0.3">
      <c r="A287" t="s">
        <v>235</v>
      </c>
      <c r="B287" t="s">
        <v>46</v>
      </c>
      <c r="C287" t="str">
        <f>HYPERLINK("https://tap.az/elanlar/neqliyyat/avtomobiller/48560572", "Linke kec")</f>
        <v>Linke kec</v>
      </c>
    </row>
    <row r="288" spans="1:3" x14ac:dyDescent="0.3">
      <c r="A288" t="s">
        <v>323</v>
      </c>
      <c r="B288" t="s">
        <v>42</v>
      </c>
      <c r="C288" t="str">
        <f>HYPERLINK("https://tap.az/elanlar/neqliyyat/avtomobiller/48560535", "Linke kec")</f>
        <v>Linke kec</v>
      </c>
    </row>
    <row r="289" spans="1:3" x14ac:dyDescent="0.3">
      <c r="A289" t="s">
        <v>220</v>
      </c>
      <c r="B289" t="s">
        <v>4</v>
      </c>
      <c r="C289" t="str">
        <f>HYPERLINK("https://tap.az/elanlar/neqliyyat/avtomobiller/48296168", "Linke kec")</f>
        <v>Linke kec</v>
      </c>
    </row>
    <row r="290" spans="1:3" x14ac:dyDescent="0.3">
      <c r="A290" t="s">
        <v>200</v>
      </c>
      <c r="B290" t="s">
        <v>289</v>
      </c>
      <c r="C290" t="str">
        <f>HYPERLINK("https://tap.az/elanlar/neqliyyat/avtomobiller/48559604", "Linke kec")</f>
        <v>Linke kec</v>
      </c>
    </row>
    <row r="291" spans="1:3" x14ac:dyDescent="0.3">
      <c r="A291" t="s">
        <v>47</v>
      </c>
      <c r="B291" t="s">
        <v>207</v>
      </c>
      <c r="C291" t="str">
        <f>HYPERLINK("https://tap.az/elanlar/neqliyyat/avtomobiller/48559520", "Linke kec")</f>
        <v>Linke kec</v>
      </c>
    </row>
    <row r="292" spans="1:3" x14ac:dyDescent="0.3">
      <c r="A292" t="s">
        <v>188</v>
      </c>
      <c r="B292" t="s">
        <v>116</v>
      </c>
      <c r="C292" t="str">
        <f>HYPERLINK("https://tap.az/elanlar/neqliyyat/avtomobiller/48559503", "Linke kec")</f>
        <v>Linke kec</v>
      </c>
    </row>
    <row r="293" spans="1:3" x14ac:dyDescent="0.3">
      <c r="A293" t="s">
        <v>324</v>
      </c>
      <c r="B293" t="s">
        <v>32</v>
      </c>
      <c r="C293" t="str">
        <f>HYPERLINK("https://tap.az/elanlar/neqliyyat/avtomobiller/48559447", "Linke kec")</f>
        <v>Linke kec</v>
      </c>
    </row>
    <row r="294" spans="1:3" x14ac:dyDescent="0.3">
      <c r="A294" t="s">
        <v>325</v>
      </c>
      <c r="B294" t="s">
        <v>137</v>
      </c>
      <c r="C294" t="str">
        <f>HYPERLINK("https://tap.az/elanlar/neqliyyat/avtomobiller/48559107", "Linke kec")</f>
        <v>Linke kec</v>
      </c>
    </row>
    <row r="295" spans="1:3" x14ac:dyDescent="0.3">
      <c r="A295" t="s">
        <v>326</v>
      </c>
      <c r="B295" t="s">
        <v>327</v>
      </c>
      <c r="C295" t="str">
        <f>HYPERLINK("https://tap.az/elanlar/neqliyyat/avtomobiller/48175727", "Linke kec")</f>
        <v>Linke kec</v>
      </c>
    </row>
    <row r="296" spans="1:3" x14ac:dyDescent="0.3">
      <c r="A296" t="s">
        <v>328</v>
      </c>
      <c r="B296" t="s">
        <v>329</v>
      </c>
      <c r="C296" t="str">
        <f>HYPERLINK("https://tap.az/elanlar/neqliyyat/avtomobiller/48558788", "Linke kec")</f>
        <v>Linke kec</v>
      </c>
    </row>
    <row r="297" spans="1:3" x14ac:dyDescent="0.3">
      <c r="A297" t="s">
        <v>330</v>
      </c>
      <c r="B297" t="s">
        <v>261</v>
      </c>
      <c r="C297" t="str">
        <f>HYPERLINK("https://tap.az/elanlar/neqliyyat/avtomobiller/48558698", "Linke kec")</f>
        <v>Linke kec</v>
      </c>
    </row>
    <row r="298" spans="1:3" x14ac:dyDescent="0.3">
      <c r="A298" t="s">
        <v>331</v>
      </c>
      <c r="B298" t="s">
        <v>332</v>
      </c>
      <c r="C298" t="str">
        <f>HYPERLINK("https://tap.az/elanlar/neqliyyat/avtomobiller/48558569", "Linke kec")</f>
        <v>Linke kec</v>
      </c>
    </row>
    <row r="299" spans="1:3" x14ac:dyDescent="0.3">
      <c r="A299" t="s">
        <v>333</v>
      </c>
      <c r="B299" t="s">
        <v>300</v>
      </c>
      <c r="C299" t="str">
        <f>HYPERLINK("https://tap.az/elanlar/neqliyyat/avtomobiller/48558546", "Linke kec")</f>
        <v>Linke kec</v>
      </c>
    </row>
    <row r="300" spans="1:3" x14ac:dyDescent="0.3">
      <c r="A300" t="s">
        <v>126</v>
      </c>
      <c r="B300" t="s">
        <v>295</v>
      </c>
      <c r="C300" t="str">
        <f>HYPERLINK("https://tap.az/elanlar/neqliyyat/avtomobiller/48557992", "Linke kec")</f>
        <v>Linke kec</v>
      </c>
    </row>
    <row r="301" spans="1:3" x14ac:dyDescent="0.3">
      <c r="A301" t="s">
        <v>308</v>
      </c>
      <c r="B301" t="s">
        <v>258</v>
      </c>
      <c r="C301" t="str">
        <f>HYPERLINK("https://tap.az/elanlar/neqliyyat/avtomobiller/48557830", "Linke kec")</f>
        <v>Linke kec</v>
      </c>
    </row>
    <row r="302" spans="1:3" x14ac:dyDescent="0.3">
      <c r="A302" t="s">
        <v>236</v>
      </c>
      <c r="B302" t="s">
        <v>334</v>
      </c>
      <c r="C302" t="str">
        <f>HYPERLINK("https://tap.az/elanlar/neqliyyat/avtomobiller/48297769", "Linke kec")</f>
        <v>Linke kec</v>
      </c>
    </row>
    <row r="303" spans="1:3" x14ac:dyDescent="0.3">
      <c r="A303" t="s">
        <v>335</v>
      </c>
      <c r="B303" t="s">
        <v>336</v>
      </c>
      <c r="C303" t="str">
        <f>HYPERLINK("https://tap.az/elanlar/neqliyyat/avtomobiller/46697335", "Linke kec")</f>
        <v>Linke kec</v>
      </c>
    </row>
    <row r="304" spans="1:3" x14ac:dyDescent="0.3">
      <c r="A304" t="s">
        <v>87</v>
      </c>
      <c r="B304" t="s">
        <v>314</v>
      </c>
      <c r="C304" t="str">
        <f>HYPERLINK("https://tap.az/elanlar/neqliyyat/avtomobiller/48557544", "Linke kec")</f>
        <v>Linke kec</v>
      </c>
    </row>
    <row r="305" spans="1:3" x14ac:dyDescent="0.3">
      <c r="A305" t="s">
        <v>337</v>
      </c>
      <c r="B305" t="s">
        <v>207</v>
      </c>
      <c r="C305" t="str">
        <f>HYPERLINK("https://tap.az/elanlar/neqliyyat/avtomobiller/48556845", "Linke kec")</f>
        <v>Linke kec</v>
      </c>
    </row>
    <row r="306" spans="1:3" x14ac:dyDescent="0.3">
      <c r="A306" t="s">
        <v>53</v>
      </c>
      <c r="B306" t="s">
        <v>338</v>
      </c>
      <c r="C306" t="str">
        <f>HYPERLINK("https://tap.az/elanlar/neqliyyat/avtomobiller/48477683", "Linke kec")</f>
        <v>Linke kec</v>
      </c>
    </row>
    <row r="307" spans="1:3" x14ac:dyDescent="0.3">
      <c r="A307" t="s">
        <v>155</v>
      </c>
      <c r="B307" t="s">
        <v>122</v>
      </c>
      <c r="C307" t="str">
        <f>HYPERLINK("https://tap.az/elanlar/neqliyyat/avtomobiller/48556204", "Linke kec")</f>
        <v>Linke kec</v>
      </c>
    </row>
    <row r="308" spans="1:3" x14ac:dyDescent="0.3">
      <c r="A308" t="s">
        <v>339</v>
      </c>
      <c r="B308" t="s">
        <v>340</v>
      </c>
      <c r="C308" t="str">
        <f>HYPERLINK("https://tap.az/elanlar/neqliyyat/avtomobiller/48556101", "Linke kec")</f>
        <v>Linke kec</v>
      </c>
    </row>
    <row r="309" spans="1:3" x14ac:dyDescent="0.3">
      <c r="A309" t="s">
        <v>126</v>
      </c>
      <c r="B309" t="s">
        <v>70</v>
      </c>
      <c r="C309" t="str">
        <f>HYPERLINK("https://tap.az/elanlar/neqliyyat/avtomobiller/48556012", "Linke kec")</f>
        <v>Linke kec</v>
      </c>
    </row>
    <row r="310" spans="1:3" x14ac:dyDescent="0.3">
      <c r="A310" t="s">
        <v>37</v>
      </c>
      <c r="B310" t="s">
        <v>68</v>
      </c>
      <c r="C310" t="str">
        <f>HYPERLINK("https://tap.az/elanlar/neqliyyat/avtomobiller/48281866", "Linke kec")</f>
        <v>Linke kec</v>
      </c>
    </row>
    <row r="311" spans="1:3" x14ac:dyDescent="0.3">
      <c r="A311" t="s">
        <v>341</v>
      </c>
      <c r="B311" t="s">
        <v>342</v>
      </c>
      <c r="C311" t="str">
        <f>HYPERLINK("https://tap.az/elanlar/neqliyyat/avtomobiller/48258117", "Linke kec")</f>
        <v>Linke kec</v>
      </c>
    </row>
    <row r="312" spans="1:3" x14ac:dyDescent="0.3">
      <c r="A312" t="s">
        <v>67</v>
      </c>
      <c r="B312" t="s">
        <v>343</v>
      </c>
      <c r="C312" t="str">
        <f>HYPERLINK("https://tap.az/elanlar/neqliyyat/avtomobiller/48555406", "Linke kec")</f>
        <v>Linke kec</v>
      </c>
    </row>
    <row r="313" spans="1:3" x14ac:dyDescent="0.3">
      <c r="A313" t="s">
        <v>344</v>
      </c>
      <c r="B313" t="s">
        <v>48</v>
      </c>
      <c r="C313" t="str">
        <f>HYPERLINK("https://tap.az/elanlar/neqliyyat/avtomobiller/48555612", "Linke kec")</f>
        <v>Linke kec</v>
      </c>
    </row>
    <row r="314" spans="1:3" x14ac:dyDescent="0.3">
      <c r="A314" t="s">
        <v>345</v>
      </c>
      <c r="B314" t="s">
        <v>10</v>
      </c>
      <c r="C314" t="str">
        <f>HYPERLINK("https://tap.az/elanlar/neqliyyat/avtomobiller/48554560", "Linke kec")</f>
        <v>Linke kec</v>
      </c>
    </row>
    <row r="315" spans="1:3" x14ac:dyDescent="0.3">
      <c r="A315" t="s">
        <v>63</v>
      </c>
      <c r="B315" t="s">
        <v>90</v>
      </c>
      <c r="C315" t="str">
        <f>HYPERLINK("https://tap.az/elanlar/neqliyyat/avtomobiller/48554503", "Linke kec")</f>
        <v>Linke kec</v>
      </c>
    </row>
    <row r="316" spans="1:3" x14ac:dyDescent="0.3">
      <c r="A316" t="s">
        <v>346</v>
      </c>
      <c r="B316" t="s">
        <v>277</v>
      </c>
      <c r="C316" t="str">
        <f>HYPERLINK("https://tap.az/elanlar/neqliyyat/avtomobiller/48554264", "Linke kec")</f>
        <v>Linke kec</v>
      </c>
    </row>
    <row r="317" spans="1:3" x14ac:dyDescent="0.3">
      <c r="A317" t="s">
        <v>73</v>
      </c>
      <c r="B317" t="s">
        <v>32</v>
      </c>
      <c r="C317" t="str">
        <f>HYPERLINK("https://tap.az/elanlar/neqliyyat/avtomobiller/46132494", "Linke kec")</f>
        <v>Linke kec</v>
      </c>
    </row>
    <row r="318" spans="1:3" x14ac:dyDescent="0.3">
      <c r="A318" t="s">
        <v>67</v>
      </c>
      <c r="B318" t="s">
        <v>103</v>
      </c>
      <c r="C318" t="str">
        <f>HYPERLINK("https://tap.az/elanlar/neqliyyat/avtomobiller/48501430", "Linke kec")</f>
        <v>Linke kec</v>
      </c>
    </row>
    <row r="319" spans="1:3" x14ac:dyDescent="0.3">
      <c r="A319" t="s">
        <v>347</v>
      </c>
      <c r="B319" t="s">
        <v>72</v>
      </c>
      <c r="C319" t="str">
        <f>HYPERLINK("https://tap.az/elanlar/neqliyyat/avtomobiller/48553604", "Linke kec")</f>
        <v>Linke kec</v>
      </c>
    </row>
    <row r="320" spans="1:3" x14ac:dyDescent="0.3">
      <c r="A320" t="s">
        <v>348</v>
      </c>
      <c r="B320" t="s">
        <v>24</v>
      </c>
      <c r="C320" t="str">
        <f>HYPERLINK("https://tap.az/elanlar/neqliyyat/avtomobiller/48553479", "Linke kec")</f>
        <v>Linke kec</v>
      </c>
    </row>
    <row r="321" spans="1:3" x14ac:dyDescent="0.3">
      <c r="A321" t="s">
        <v>349</v>
      </c>
      <c r="B321" t="s">
        <v>88</v>
      </c>
      <c r="C321" t="str">
        <f>HYPERLINK("https://tap.az/elanlar/neqliyyat/avtomobiller/47605433", "Linke kec")</f>
        <v>Linke kec</v>
      </c>
    </row>
    <row r="322" spans="1:3" x14ac:dyDescent="0.3">
      <c r="A322" t="s">
        <v>33</v>
      </c>
      <c r="B322" t="s">
        <v>350</v>
      </c>
      <c r="C322" t="str">
        <f>HYPERLINK("https://tap.az/elanlar/neqliyyat/avtomobiller/48038164", "Linke kec")</f>
        <v>Linke kec</v>
      </c>
    </row>
    <row r="323" spans="1:3" x14ac:dyDescent="0.3">
      <c r="A323" t="s">
        <v>351</v>
      </c>
      <c r="B323" t="s">
        <v>116</v>
      </c>
      <c r="C323" t="str">
        <f>HYPERLINK("https://tap.az/elanlar/neqliyyat/avtomobiller/48553154", "Linke kec")</f>
        <v>Linke kec</v>
      </c>
    </row>
    <row r="324" spans="1:3" x14ac:dyDescent="0.3">
      <c r="A324" t="s">
        <v>333</v>
      </c>
      <c r="B324" t="s">
        <v>143</v>
      </c>
      <c r="C324" t="str">
        <f>HYPERLINK("https://tap.az/elanlar/neqliyyat/avtomobiller/48552933", "Linke kec")</f>
        <v>Linke kec</v>
      </c>
    </row>
    <row r="325" spans="1:3" x14ac:dyDescent="0.3">
      <c r="A325" t="s">
        <v>157</v>
      </c>
      <c r="B325" t="s">
        <v>158</v>
      </c>
      <c r="C325" t="str">
        <f>HYPERLINK("https://tap.az/elanlar/neqliyyat/avtomobiller/48552515", "Linke kec")</f>
        <v>Linke kec</v>
      </c>
    </row>
    <row r="326" spans="1:3" x14ac:dyDescent="0.3">
      <c r="A326" t="s">
        <v>181</v>
      </c>
      <c r="B326" t="s">
        <v>352</v>
      </c>
      <c r="C326" t="str">
        <f>HYPERLINK("https://tap.az/elanlar/neqliyyat/avtomobiller/43956498", "Linke kec")</f>
        <v>Linke kec</v>
      </c>
    </row>
    <row r="327" spans="1:3" x14ac:dyDescent="0.3">
      <c r="A327" t="s">
        <v>179</v>
      </c>
      <c r="B327" t="s">
        <v>350</v>
      </c>
      <c r="C327" t="str">
        <f>HYPERLINK("https://tap.az/elanlar/neqliyyat/avtomobiller/48551397", "Linke kec")</f>
        <v>Linke kec</v>
      </c>
    </row>
    <row r="328" spans="1:3" x14ac:dyDescent="0.3">
      <c r="A328" t="s">
        <v>353</v>
      </c>
      <c r="B328" t="s">
        <v>114</v>
      </c>
      <c r="C328" t="str">
        <f>HYPERLINK("https://tap.az/elanlar/neqliyyat/avtomobiller/48551375", "Linke kec")</f>
        <v>Linke kec</v>
      </c>
    </row>
    <row r="329" spans="1:3" x14ac:dyDescent="0.3">
      <c r="A329" t="s">
        <v>55</v>
      </c>
      <c r="B329" t="s">
        <v>226</v>
      </c>
      <c r="C329" t="str">
        <f>HYPERLINK("https://tap.az/elanlar/neqliyyat/avtomobiller/48551073", "Linke kec")</f>
        <v>Linke kec</v>
      </c>
    </row>
    <row r="330" spans="1:3" x14ac:dyDescent="0.3">
      <c r="A330" t="s">
        <v>354</v>
      </c>
      <c r="B330" t="s">
        <v>127</v>
      </c>
      <c r="C330" t="str">
        <f>HYPERLINK("https://tap.az/elanlar/neqliyyat/avtomobiller/48550643", "Linke kec")</f>
        <v>Linke kec</v>
      </c>
    </row>
    <row r="331" spans="1:3" x14ac:dyDescent="0.3">
      <c r="A331" t="s">
        <v>85</v>
      </c>
      <c r="B331" t="s">
        <v>207</v>
      </c>
      <c r="C331" t="str">
        <f>HYPERLINK("https://tap.az/elanlar/neqliyyat/avtomobiller/48550095", "Linke kec")</f>
        <v>Linke kec</v>
      </c>
    </row>
    <row r="332" spans="1:3" x14ac:dyDescent="0.3">
      <c r="A332" t="s">
        <v>355</v>
      </c>
      <c r="B332" t="s">
        <v>143</v>
      </c>
      <c r="C332" t="str">
        <f>HYPERLINK("https://tap.az/elanlar/neqliyyat/avtomobiller/48549191", "Linke kec")</f>
        <v>Linke kec</v>
      </c>
    </row>
    <row r="333" spans="1:3" x14ac:dyDescent="0.3">
      <c r="A333" t="s">
        <v>356</v>
      </c>
      <c r="B333" t="s">
        <v>114</v>
      </c>
      <c r="C333" t="str">
        <f>HYPERLINK("https://tap.az/elanlar/neqliyyat/avtomobiller/48548881", "Linke kec")</f>
        <v>Linke kec</v>
      </c>
    </row>
    <row r="334" spans="1:3" x14ac:dyDescent="0.3">
      <c r="A334" t="s">
        <v>331</v>
      </c>
      <c r="B334" t="s">
        <v>258</v>
      </c>
      <c r="C334" t="str">
        <f>HYPERLINK("https://tap.az/elanlar/neqliyyat/avtomobiller/48548463", "Linke kec")</f>
        <v>Linke kec</v>
      </c>
    </row>
    <row r="335" spans="1:3" x14ac:dyDescent="0.3">
      <c r="A335" t="s">
        <v>357</v>
      </c>
      <c r="B335" t="s">
        <v>358</v>
      </c>
      <c r="C335" t="str">
        <f>HYPERLINK("https://tap.az/elanlar/neqliyyat/avtomobiller/47222336", "Linke kec")</f>
        <v>Linke kec</v>
      </c>
    </row>
    <row r="336" spans="1:3" x14ac:dyDescent="0.3">
      <c r="A336" t="s">
        <v>359</v>
      </c>
      <c r="B336" t="s">
        <v>20</v>
      </c>
      <c r="C336" t="str">
        <f>HYPERLINK("https://tap.az/elanlar/neqliyyat/avtomobiller/48548078", "Linke kec")</f>
        <v>Linke kec</v>
      </c>
    </row>
    <row r="337" spans="1:3" x14ac:dyDescent="0.3">
      <c r="A337" t="s">
        <v>179</v>
      </c>
      <c r="B337" t="s">
        <v>81</v>
      </c>
      <c r="C337" t="str">
        <f>HYPERLINK("https://tap.az/elanlar/neqliyyat/avtomobiller/48529758", "Linke kec")</f>
        <v>Linke kec</v>
      </c>
    </row>
    <row r="338" spans="1:3" x14ac:dyDescent="0.3">
      <c r="A338" t="s">
        <v>78</v>
      </c>
      <c r="B338" t="s">
        <v>258</v>
      </c>
      <c r="C338" t="str">
        <f>HYPERLINK("https://tap.az/elanlar/neqliyyat/avtomobiller/48547832", "Linke kec")</f>
        <v>Linke kec</v>
      </c>
    </row>
    <row r="339" spans="1:3" x14ac:dyDescent="0.3">
      <c r="A339" t="s">
        <v>209</v>
      </c>
      <c r="B339" t="s">
        <v>93</v>
      </c>
      <c r="C339" t="str">
        <f>HYPERLINK("https://tap.az/elanlar/neqliyyat/avtomobiller/48547311", "Linke kec")</f>
        <v>Linke kec</v>
      </c>
    </row>
    <row r="340" spans="1:3" x14ac:dyDescent="0.3">
      <c r="A340" t="s">
        <v>360</v>
      </c>
      <c r="B340" t="s">
        <v>361</v>
      </c>
      <c r="C340" t="str">
        <f>HYPERLINK("https://tap.az/elanlar/neqliyyat/avtomobiller/41499763", "Linke kec")</f>
        <v>Linke kec</v>
      </c>
    </row>
    <row r="341" spans="1:3" x14ac:dyDescent="0.3">
      <c r="A341" t="s">
        <v>322</v>
      </c>
      <c r="B341" t="s">
        <v>46</v>
      </c>
      <c r="C341" t="str">
        <f>HYPERLINK("https://tap.az/elanlar/neqliyyat/avtomobiller/47016732", "Linke kec")</f>
        <v>Linke kec</v>
      </c>
    </row>
    <row r="342" spans="1:3" x14ac:dyDescent="0.3">
      <c r="A342" t="s">
        <v>362</v>
      </c>
      <c r="B342" t="s">
        <v>40</v>
      </c>
      <c r="C342" t="str">
        <f>HYPERLINK("https://tap.az/elanlar/neqliyyat/avtomobiller/48251231", "Linke kec")</f>
        <v>Linke kec</v>
      </c>
    </row>
    <row r="343" spans="1:3" x14ac:dyDescent="0.3">
      <c r="A343" t="s">
        <v>363</v>
      </c>
      <c r="B343" t="s">
        <v>364</v>
      </c>
      <c r="C343" t="str">
        <f>HYPERLINK("https://tap.az/elanlar/neqliyyat/avtomobiller/48546469", "Linke kec")</f>
        <v>Linke kec</v>
      </c>
    </row>
    <row r="344" spans="1:3" x14ac:dyDescent="0.3">
      <c r="A344" t="s">
        <v>365</v>
      </c>
      <c r="B344" t="s">
        <v>65</v>
      </c>
      <c r="C344" t="str">
        <f>HYPERLINK("https://tap.az/elanlar/neqliyyat/avtomobiller/47489684", "Linke kec")</f>
        <v>Linke kec</v>
      </c>
    </row>
    <row r="345" spans="1:3" x14ac:dyDescent="0.3">
      <c r="A345" t="s">
        <v>366</v>
      </c>
      <c r="B345" t="s">
        <v>281</v>
      </c>
      <c r="C345" t="str">
        <f>HYPERLINK("https://tap.az/elanlar/neqliyyat/avtomobiller/48546391", "Linke kec")</f>
        <v>Linke kec</v>
      </c>
    </row>
    <row r="346" spans="1:3" x14ac:dyDescent="0.3">
      <c r="A346" t="s">
        <v>367</v>
      </c>
      <c r="B346" t="s">
        <v>264</v>
      </c>
      <c r="C346" t="str">
        <f>HYPERLINK("https://tap.az/elanlar/neqliyyat/avtomobiller/48499197", "Linke kec")</f>
        <v>Linke kec</v>
      </c>
    </row>
    <row r="347" spans="1:3" x14ac:dyDescent="0.3">
      <c r="A347" t="s">
        <v>7</v>
      </c>
      <c r="B347" t="s">
        <v>185</v>
      </c>
      <c r="C347" t="str">
        <f>HYPERLINK("https://tap.az/elanlar/neqliyyat/avtomobiller/48545447", "Linke kec")</f>
        <v>Linke kec</v>
      </c>
    </row>
    <row r="348" spans="1:3" x14ac:dyDescent="0.3">
      <c r="A348" t="s">
        <v>368</v>
      </c>
      <c r="B348" t="s">
        <v>369</v>
      </c>
      <c r="C348" t="str">
        <f>HYPERLINK("https://tap.az/elanlar/neqliyyat/avtomobiller/48545381", "Linke kec")</f>
        <v>Linke kec</v>
      </c>
    </row>
    <row r="349" spans="1:3" x14ac:dyDescent="0.3">
      <c r="A349" t="s">
        <v>55</v>
      </c>
      <c r="B349" t="s">
        <v>42</v>
      </c>
      <c r="C349" t="str">
        <f>HYPERLINK("https://tap.az/elanlar/neqliyyat/avtomobiller/48545321", "Linke kec")</f>
        <v>Linke kec</v>
      </c>
    </row>
    <row r="350" spans="1:3" x14ac:dyDescent="0.3">
      <c r="A350" t="s">
        <v>370</v>
      </c>
      <c r="B350" t="s">
        <v>314</v>
      </c>
      <c r="C350" t="str">
        <f>HYPERLINK("https://tap.az/elanlar/neqliyyat/avtomobiller/48291259", "Linke kec")</f>
        <v>Linke kec</v>
      </c>
    </row>
    <row r="351" spans="1:3" x14ac:dyDescent="0.3">
      <c r="A351" t="s">
        <v>360</v>
      </c>
      <c r="B351" t="s">
        <v>371</v>
      </c>
      <c r="C351" t="str">
        <f>HYPERLINK("https://tap.az/elanlar/neqliyyat/avtomobiller/48544752", "Linke kec")</f>
        <v>Linke kec</v>
      </c>
    </row>
    <row r="352" spans="1:3" x14ac:dyDescent="0.3">
      <c r="A352" t="s">
        <v>120</v>
      </c>
      <c r="B352" t="s">
        <v>122</v>
      </c>
      <c r="C352" t="str">
        <f>HYPERLINK("https://tap.az/elanlar/neqliyyat/avtomobiller/48215049", "Linke kec")</f>
        <v>Linke kec</v>
      </c>
    </row>
    <row r="353" spans="1:3" x14ac:dyDescent="0.3">
      <c r="A353" t="s">
        <v>372</v>
      </c>
      <c r="B353" t="s">
        <v>332</v>
      </c>
      <c r="C353" t="str">
        <f>HYPERLINK("https://tap.az/elanlar/neqliyyat/avtomobiller/48544378", "Linke kec")</f>
        <v>Linke kec</v>
      </c>
    </row>
    <row r="354" spans="1:3" x14ac:dyDescent="0.3">
      <c r="A354" t="s">
        <v>37</v>
      </c>
      <c r="B354" t="s">
        <v>127</v>
      </c>
      <c r="C354" t="str">
        <f>HYPERLINK("https://tap.az/elanlar/neqliyyat/avtomobiller/48544303", "Linke kec")</f>
        <v>Linke kec</v>
      </c>
    </row>
    <row r="355" spans="1:3" x14ac:dyDescent="0.3">
      <c r="A355" t="s">
        <v>41</v>
      </c>
      <c r="B355" t="s">
        <v>373</v>
      </c>
      <c r="C355" t="str">
        <f>HYPERLINK("https://tap.az/elanlar/neqliyyat/avtomobiller/46804538", "Linke kec")</f>
        <v>Linke kec</v>
      </c>
    </row>
    <row r="356" spans="1:3" x14ac:dyDescent="0.3">
      <c r="A356" t="s">
        <v>53</v>
      </c>
      <c r="B356" t="s">
        <v>374</v>
      </c>
      <c r="C356" t="str">
        <f>HYPERLINK("https://tap.az/elanlar/neqliyyat/avtomobiller/41754588", "Linke kec")</f>
        <v>Linke kec</v>
      </c>
    </row>
    <row r="357" spans="1:3" x14ac:dyDescent="0.3">
      <c r="A357" t="s">
        <v>43</v>
      </c>
      <c r="B357" t="s">
        <v>70</v>
      </c>
      <c r="C357" t="str">
        <f>HYPERLINK("https://tap.az/elanlar/neqliyyat/avtomobiller/48288975", "Linke kec")</f>
        <v>Linke kec</v>
      </c>
    </row>
    <row r="358" spans="1:3" x14ac:dyDescent="0.3">
      <c r="A358" t="s">
        <v>370</v>
      </c>
      <c r="B358" t="s">
        <v>166</v>
      </c>
      <c r="C358" t="str">
        <f>HYPERLINK("https://tap.az/elanlar/neqliyyat/avtomobiller/47598407", "Linke kec")</f>
        <v>Linke kec</v>
      </c>
    </row>
    <row r="359" spans="1:3" x14ac:dyDescent="0.3">
      <c r="A359" t="s">
        <v>375</v>
      </c>
      <c r="B359" t="s">
        <v>114</v>
      </c>
      <c r="C359" t="str">
        <f>HYPERLINK("https://tap.az/elanlar/neqliyyat/avtomobiller/48542025", "Linke kec")</f>
        <v>Linke kec</v>
      </c>
    </row>
    <row r="360" spans="1:3" x14ac:dyDescent="0.3">
      <c r="A360" t="s">
        <v>104</v>
      </c>
      <c r="B360" t="s">
        <v>226</v>
      </c>
      <c r="C360" t="str">
        <f>HYPERLINK("https://tap.az/elanlar/neqliyyat/avtomobiller/48541934", "Linke kec")</f>
        <v>Linke kec</v>
      </c>
    </row>
    <row r="361" spans="1:3" x14ac:dyDescent="0.3">
      <c r="A361" t="s">
        <v>376</v>
      </c>
      <c r="B361" t="s">
        <v>58</v>
      </c>
      <c r="C361" t="str">
        <f>HYPERLINK("https://tap.az/elanlar/neqliyyat/avtomobiller/48541904", "Linke kec")</f>
        <v>Linke kec</v>
      </c>
    </row>
    <row r="362" spans="1:3" x14ac:dyDescent="0.3">
      <c r="A362" t="s">
        <v>161</v>
      </c>
      <c r="B362" t="s">
        <v>168</v>
      </c>
      <c r="C362" t="str">
        <f>HYPERLINK("https://tap.az/elanlar/neqliyyat/avtomobiller/45421362", "Linke kec")</f>
        <v>Linke kec</v>
      </c>
    </row>
    <row r="363" spans="1:3" x14ac:dyDescent="0.3">
      <c r="A363" t="s">
        <v>206</v>
      </c>
      <c r="B363" t="s">
        <v>125</v>
      </c>
      <c r="C363" t="str">
        <f>HYPERLINK("https://tap.az/elanlar/neqliyyat/avtomobiller/47940911", "Linke kec")</f>
        <v>Linke kec</v>
      </c>
    </row>
    <row r="364" spans="1:3" x14ac:dyDescent="0.3">
      <c r="A364" t="s">
        <v>67</v>
      </c>
      <c r="B364" t="s">
        <v>197</v>
      </c>
      <c r="C364" t="str">
        <f>HYPERLINK("https://tap.az/elanlar/neqliyyat/avtomobiller/48541303", "Linke kec")</f>
        <v>Linke kec</v>
      </c>
    </row>
    <row r="365" spans="1:3" x14ac:dyDescent="0.3">
      <c r="A365" t="s">
        <v>268</v>
      </c>
      <c r="B365" t="s">
        <v>377</v>
      </c>
      <c r="C365" t="str">
        <f>HYPERLINK("https://tap.az/elanlar/neqliyyat/avtomobiller/48540884", "Linke kec")</f>
        <v>Linke kec</v>
      </c>
    </row>
    <row r="366" spans="1:3" x14ac:dyDescent="0.3">
      <c r="A366" t="s">
        <v>378</v>
      </c>
      <c r="B366" t="s">
        <v>226</v>
      </c>
      <c r="C366" t="str">
        <f>HYPERLINK("https://tap.az/elanlar/neqliyyat/avtomobiller/48540243", "Linke kec")</f>
        <v>Linke kec</v>
      </c>
    </row>
    <row r="367" spans="1:3" x14ac:dyDescent="0.3">
      <c r="A367" t="s">
        <v>7</v>
      </c>
      <c r="B367" t="s">
        <v>12</v>
      </c>
      <c r="C367" t="str">
        <f>HYPERLINK("https://tap.az/elanlar/neqliyyat/avtomobiller/48539755", "Linke kec")</f>
        <v>Linke kec</v>
      </c>
    </row>
    <row r="368" spans="1:3" x14ac:dyDescent="0.3">
      <c r="A368" t="s">
        <v>37</v>
      </c>
      <c r="B368" t="s">
        <v>70</v>
      </c>
      <c r="C368" t="str">
        <f>HYPERLINK("https://tap.az/elanlar/neqliyyat/avtomobiller/48539638", "Linke kec")</f>
        <v>Linke kec</v>
      </c>
    </row>
    <row r="369" spans="1:3" x14ac:dyDescent="0.3">
      <c r="A369" t="s">
        <v>379</v>
      </c>
      <c r="B369" t="s">
        <v>151</v>
      </c>
      <c r="C369" t="str">
        <f>HYPERLINK("https://tap.az/elanlar/neqliyyat/avtomobiller/48517936", "Linke kec")</f>
        <v>Linke kec</v>
      </c>
    </row>
    <row r="370" spans="1:3" x14ac:dyDescent="0.3">
      <c r="A370" t="s">
        <v>380</v>
      </c>
      <c r="B370" t="s">
        <v>381</v>
      </c>
      <c r="C370" t="str">
        <f>HYPERLINK("https://tap.az/elanlar/neqliyyat/avtomobiller/48538240", "Linke kec")</f>
        <v>Linke kec</v>
      </c>
    </row>
    <row r="371" spans="1:3" x14ac:dyDescent="0.3">
      <c r="A371" t="s">
        <v>382</v>
      </c>
      <c r="B371" t="s">
        <v>258</v>
      </c>
      <c r="C371" t="str">
        <f>HYPERLINK("https://tap.az/elanlar/neqliyyat/avtomobiller/48536580", "Linke kec")</f>
        <v>Linke kec</v>
      </c>
    </row>
    <row r="372" spans="1:3" x14ac:dyDescent="0.3">
      <c r="A372" t="s">
        <v>383</v>
      </c>
      <c r="B372" t="s">
        <v>384</v>
      </c>
      <c r="C372" t="str">
        <f>HYPERLINK("https://tap.az/elanlar/neqliyyat/avtomobiller/48537953", "Linke kec")</f>
        <v>Linke kec</v>
      </c>
    </row>
    <row r="373" spans="1:3" x14ac:dyDescent="0.3">
      <c r="A373" t="s">
        <v>385</v>
      </c>
      <c r="B373" t="s">
        <v>68</v>
      </c>
      <c r="C373" t="str">
        <f>HYPERLINK("https://tap.az/elanlar/neqliyyat/avtomobiller/48537484", "Linke kec")</f>
        <v>Linke kec</v>
      </c>
    </row>
    <row r="374" spans="1:3" x14ac:dyDescent="0.3">
      <c r="A374" t="s">
        <v>386</v>
      </c>
      <c r="B374" t="s">
        <v>4</v>
      </c>
      <c r="C374" t="str">
        <f>HYPERLINK("https://tap.az/elanlar/neqliyyat/avtomobiller/48537080", "Linke kec")</f>
        <v>Linke kec</v>
      </c>
    </row>
    <row r="375" spans="1:3" x14ac:dyDescent="0.3">
      <c r="A375" t="s">
        <v>53</v>
      </c>
      <c r="B375" t="s">
        <v>186</v>
      </c>
      <c r="C375" t="str">
        <f>HYPERLINK("https://tap.az/elanlar/neqliyyat/avtomobiller/47362069", "Linke kec")</f>
        <v>Linke kec</v>
      </c>
    </row>
    <row r="376" spans="1:3" x14ac:dyDescent="0.3">
      <c r="A376" t="s">
        <v>43</v>
      </c>
      <c r="B376" t="s">
        <v>387</v>
      </c>
      <c r="C376" t="str">
        <f>HYPERLINK("https://tap.az/elanlar/neqliyyat/avtomobiller/48398473", "Linke kec")</f>
        <v>Linke kec</v>
      </c>
    </row>
    <row r="377" spans="1:3" x14ac:dyDescent="0.3">
      <c r="A377" t="s">
        <v>388</v>
      </c>
      <c r="B377" t="s">
        <v>275</v>
      </c>
      <c r="C377" t="str">
        <f>HYPERLINK("https://tap.az/elanlar/neqliyyat/avtomobiller/48536901", "Linke kec")</f>
        <v>Linke kec</v>
      </c>
    </row>
    <row r="378" spans="1:3" x14ac:dyDescent="0.3">
      <c r="A378" t="s">
        <v>389</v>
      </c>
      <c r="B378" t="s">
        <v>137</v>
      </c>
      <c r="C378" t="str">
        <f>HYPERLINK("https://tap.az/elanlar/neqliyyat/avtomobiller/48536668", "Linke kec")</f>
        <v>Linke kec</v>
      </c>
    </row>
    <row r="379" spans="1:3" x14ac:dyDescent="0.3">
      <c r="A379" t="s">
        <v>251</v>
      </c>
      <c r="B379" t="s">
        <v>166</v>
      </c>
      <c r="C379" t="str">
        <f>HYPERLINK("https://tap.az/elanlar/neqliyyat/avtomobiller/48510402", "Linke kec")</f>
        <v>Linke kec</v>
      </c>
    </row>
    <row r="380" spans="1:3" x14ac:dyDescent="0.3">
      <c r="A380" t="s">
        <v>390</v>
      </c>
      <c r="B380" t="s">
        <v>391</v>
      </c>
      <c r="C380" t="str">
        <f>HYPERLINK("https://tap.az/elanlar/neqliyyat/avtomobiller/47970760", "Linke kec")</f>
        <v>Linke kec</v>
      </c>
    </row>
    <row r="381" spans="1:3" x14ac:dyDescent="0.3">
      <c r="A381" t="s">
        <v>376</v>
      </c>
      <c r="B381" t="s">
        <v>93</v>
      </c>
      <c r="C381" t="str">
        <f>HYPERLINK("https://tap.az/elanlar/neqliyyat/avtomobiller/48535709", "Linke kec")</f>
        <v>Linke kec</v>
      </c>
    </row>
    <row r="382" spans="1:3" x14ac:dyDescent="0.3">
      <c r="A382" t="s">
        <v>200</v>
      </c>
      <c r="B382" t="s">
        <v>164</v>
      </c>
      <c r="C382" t="str">
        <f>HYPERLINK("https://tap.az/elanlar/neqliyyat/avtomobiller/48273592", "Linke kec")</f>
        <v>Linke kec</v>
      </c>
    </row>
    <row r="383" spans="1:3" x14ac:dyDescent="0.3">
      <c r="A383" t="s">
        <v>392</v>
      </c>
      <c r="B383" t="s">
        <v>259</v>
      </c>
      <c r="C383" t="str">
        <f>HYPERLINK("https://tap.az/elanlar/neqliyyat/avtomobiller/48535233", "Linke kec")</f>
        <v>Linke kec</v>
      </c>
    </row>
    <row r="384" spans="1:3" x14ac:dyDescent="0.3">
      <c r="A384" t="s">
        <v>31</v>
      </c>
      <c r="B384" t="s">
        <v>393</v>
      </c>
      <c r="C384" t="str">
        <f>HYPERLINK("https://tap.az/elanlar/neqliyyat/avtomobiller/48535117", "Linke kec")</f>
        <v>Linke kec</v>
      </c>
    </row>
    <row r="385" spans="1:3" x14ac:dyDescent="0.3">
      <c r="A385" t="s">
        <v>161</v>
      </c>
      <c r="B385" t="s">
        <v>105</v>
      </c>
      <c r="C385" t="str">
        <f>HYPERLINK("https://tap.az/elanlar/neqliyyat/avtomobiller/48203062", "Linke kec")</f>
        <v>Linke kec</v>
      </c>
    </row>
    <row r="386" spans="1:3" x14ac:dyDescent="0.3">
      <c r="A386" t="s">
        <v>11</v>
      </c>
      <c r="B386" t="s">
        <v>101</v>
      </c>
      <c r="C386" t="str">
        <f>HYPERLINK("https://tap.az/elanlar/neqliyyat/avtomobiller/48534990", "Linke kec")</f>
        <v>Linke kec</v>
      </c>
    </row>
    <row r="387" spans="1:3" x14ac:dyDescent="0.3">
      <c r="A387" t="s">
        <v>394</v>
      </c>
      <c r="B387" t="s">
        <v>32</v>
      </c>
      <c r="C387" t="str">
        <f>HYPERLINK("https://tap.az/elanlar/neqliyyat/avtomobiller/48534832", "Linke kec")</f>
        <v>Linke kec</v>
      </c>
    </row>
    <row r="388" spans="1:3" x14ac:dyDescent="0.3">
      <c r="A388" t="s">
        <v>17</v>
      </c>
      <c r="B388" t="s">
        <v>40</v>
      </c>
      <c r="C388" t="str">
        <f>HYPERLINK("https://tap.az/elanlar/neqliyyat/avtomobiller/42084765", "Linke kec")</f>
        <v>Linke kec</v>
      </c>
    </row>
    <row r="389" spans="1:3" x14ac:dyDescent="0.3">
      <c r="A389" t="s">
        <v>37</v>
      </c>
      <c r="B389" t="s">
        <v>298</v>
      </c>
      <c r="C389" t="str">
        <f>HYPERLINK("https://tap.az/elanlar/neqliyyat/avtomobiller/48534177", "Linke kec")</f>
        <v>Linke kec</v>
      </c>
    </row>
    <row r="390" spans="1:3" x14ac:dyDescent="0.3">
      <c r="A390" t="s">
        <v>395</v>
      </c>
      <c r="B390" t="s">
        <v>396</v>
      </c>
      <c r="C390" t="str">
        <f>HYPERLINK("https://tap.az/elanlar/neqliyyat/avtomobiller/47454504", "Linke kec")</f>
        <v>Linke kec</v>
      </c>
    </row>
    <row r="391" spans="1:3" x14ac:dyDescent="0.3">
      <c r="A391" t="s">
        <v>397</v>
      </c>
      <c r="B391" t="s">
        <v>103</v>
      </c>
      <c r="C391" t="str">
        <f>HYPERLINK("https://tap.az/elanlar/neqliyyat/avtomobiller/48530860", "Linke kec")</f>
        <v>Linke kec</v>
      </c>
    </row>
    <row r="392" spans="1:3" x14ac:dyDescent="0.3">
      <c r="A392" t="s">
        <v>355</v>
      </c>
      <c r="B392" t="s">
        <v>46</v>
      </c>
      <c r="C392" t="str">
        <f>HYPERLINK("https://tap.az/elanlar/neqliyyat/avtomobiller/48530619", "Linke kec")</f>
        <v>Linke kec</v>
      </c>
    </row>
    <row r="393" spans="1:3" x14ac:dyDescent="0.3">
      <c r="A393" t="s">
        <v>398</v>
      </c>
      <c r="B393" t="s">
        <v>350</v>
      </c>
      <c r="C393" t="str">
        <f>HYPERLINK("https://tap.az/elanlar/neqliyyat/avtomobiller/48530649", "Linke kec")</f>
        <v>Linke kec</v>
      </c>
    </row>
    <row r="394" spans="1:3" x14ac:dyDescent="0.3">
      <c r="A394" t="s">
        <v>243</v>
      </c>
      <c r="B394" t="s">
        <v>210</v>
      </c>
      <c r="C394" t="str">
        <f>HYPERLINK("https://tap.az/elanlar/neqliyyat/avtomobiller/46984794", "Linke kec")</f>
        <v>Linke kec</v>
      </c>
    </row>
    <row r="395" spans="1:3" x14ac:dyDescent="0.3">
      <c r="A395" t="s">
        <v>123</v>
      </c>
      <c r="B395" t="s">
        <v>48</v>
      </c>
      <c r="C395" t="str">
        <f>HYPERLINK("https://tap.az/elanlar/neqliyyat/avtomobiller/48530221", "Linke kec")</f>
        <v>Linke kec</v>
      </c>
    </row>
    <row r="396" spans="1:3" x14ac:dyDescent="0.3">
      <c r="A396" t="s">
        <v>190</v>
      </c>
      <c r="B396" t="s">
        <v>8</v>
      </c>
      <c r="C396" t="str">
        <f>HYPERLINK("https://tap.az/elanlar/neqliyyat/avtomobiller/45806598", "Linke kec")</f>
        <v>Linke kec</v>
      </c>
    </row>
    <row r="397" spans="1:3" x14ac:dyDescent="0.3">
      <c r="A397" t="s">
        <v>389</v>
      </c>
      <c r="B397" t="s">
        <v>70</v>
      </c>
      <c r="C397" t="str">
        <f>HYPERLINK("https://tap.az/elanlar/neqliyyat/avtomobiller/48529248", "Linke kec")</f>
        <v>Linke kec</v>
      </c>
    </row>
    <row r="398" spans="1:3" x14ac:dyDescent="0.3">
      <c r="A398" t="s">
        <v>235</v>
      </c>
      <c r="B398" t="s">
        <v>108</v>
      </c>
      <c r="C398" t="str">
        <f>HYPERLINK("https://tap.az/elanlar/neqliyyat/avtomobiller/48529023", "Linke kec")</f>
        <v>Linke kec</v>
      </c>
    </row>
    <row r="399" spans="1:3" x14ac:dyDescent="0.3">
      <c r="A399" t="s">
        <v>399</v>
      </c>
      <c r="B399" t="s">
        <v>400</v>
      </c>
      <c r="C399" t="str">
        <f>HYPERLINK("https://tap.az/elanlar/neqliyyat/avtomobiller/48528825", "Linke kec")</f>
        <v>Linke kec</v>
      </c>
    </row>
    <row r="400" spans="1:3" x14ac:dyDescent="0.3">
      <c r="A400" t="s">
        <v>209</v>
      </c>
      <c r="B400" t="s">
        <v>156</v>
      </c>
      <c r="C400" t="str">
        <f>HYPERLINK("https://tap.az/elanlar/neqliyyat/avtomobiller/48528823", "Linke kec")</f>
        <v>Linke kec</v>
      </c>
    </row>
    <row r="401" spans="1:3" x14ac:dyDescent="0.3">
      <c r="A401" t="s">
        <v>126</v>
      </c>
      <c r="B401" t="s">
        <v>401</v>
      </c>
      <c r="C401" t="str">
        <f>HYPERLINK("https://tap.az/elanlar/neqliyyat/avtomobiller/48528747", "Linke kec")</f>
        <v>Linke kec</v>
      </c>
    </row>
    <row r="402" spans="1:3" x14ac:dyDescent="0.3">
      <c r="A402" t="s">
        <v>37</v>
      </c>
      <c r="B402" t="s">
        <v>298</v>
      </c>
      <c r="C402" t="str">
        <f>HYPERLINK("https://tap.az/elanlar/neqliyyat/avtomobiller/48528436", "Linke kec")</f>
        <v>Linke kec</v>
      </c>
    </row>
    <row r="403" spans="1:3" x14ac:dyDescent="0.3">
      <c r="A403" t="s">
        <v>146</v>
      </c>
      <c r="B403" t="s">
        <v>352</v>
      </c>
      <c r="C403" t="str">
        <f>HYPERLINK("https://tap.az/elanlar/neqliyyat/avtomobiller/48528357", "Linke kec")</f>
        <v>Linke kec</v>
      </c>
    </row>
    <row r="404" spans="1:3" x14ac:dyDescent="0.3">
      <c r="A404" t="s">
        <v>216</v>
      </c>
      <c r="B404" t="s">
        <v>402</v>
      </c>
      <c r="C404" t="str">
        <f>HYPERLINK("https://tap.az/elanlar/neqliyyat/avtomobiller/48180763", "Linke kec")</f>
        <v>Linke kec</v>
      </c>
    </row>
    <row r="405" spans="1:3" x14ac:dyDescent="0.3">
      <c r="A405" t="s">
        <v>403</v>
      </c>
      <c r="B405" t="s">
        <v>377</v>
      </c>
      <c r="C405" t="str">
        <f>HYPERLINK("https://tap.az/elanlar/neqliyyat/avtomobiller/47983446", "Linke kec")</f>
        <v>Linke kec</v>
      </c>
    </row>
    <row r="406" spans="1:3" x14ac:dyDescent="0.3">
      <c r="A406" t="s">
        <v>45</v>
      </c>
      <c r="B406" t="s">
        <v>90</v>
      </c>
      <c r="C406" t="str">
        <f>HYPERLINK("https://tap.az/elanlar/neqliyyat/avtomobiller/48528011", "Linke kec")</f>
        <v>Linke kec</v>
      </c>
    </row>
    <row r="407" spans="1:3" x14ac:dyDescent="0.3">
      <c r="A407" t="s">
        <v>7</v>
      </c>
      <c r="B407" t="s">
        <v>185</v>
      </c>
      <c r="C407" t="str">
        <f>HYPERLINK("https://tap.az/elanlar/neqliyyat/avtomobiller/48527948", "Linke kec")</f>
        <v>Linke kec</v>
      </c>
    </row>
    <row r="408" spans="1:3" x14ac:dyDescent="0.3">
      <c r="A408" t="s">
        <v>67</v>
      </c>
      <c r="B408" t="s">
        <v>229</v>
      </c>
      <c r="C408" t="str">
        <f>HYPERLINK("https://tap.az/elanlar/neqliyyat/avtomobiller/48527719", "Linke kec")</f>
        <v>Linke kec</v>
      </c>
    </row>
    <row r="409" spans="1:3" x14ac:dyDescent="0.3">
      <c r="A409" t="s">
        <v>11</v>
      </c>
      <c r="B409" t="s">
        <v>192</v>
      </c>
      <c r="C409" t="str">
        <f>HYPERLINK("https://tap.az/elanlar/neqliyyat/avtomobiller/48527502", "Linke kec")</f>
        <v>Linke kec</v>
      </c>
    </row>
    <row r="410" spans="1:3" x14ac:dyDescent="0.3">
      <c r="A410" t="s">
        <v>45</v>
      </c>
      <c r="B410" t="s">
        <v>8</v>
      </c>
      <c r="C410" t="str">
        <f>HYPERLINK("https://tap.az/elanlar/neqliyyat/avtomobiller/48527380", "Linke kec")</f>
        <v>Linke kec</v>
      </c>
    </row>
    <row r="411" spans="1:3" x14ac:dyDescent="0.3">
      <c r="A411" t="s">
        <v>404</v>
      </c>
      <c r="B411" t="s">
        <v>93</v>
      </c>
      <c r="C411" t="str">
        <f>HYPERLINK("https://tap.az/elanlar/neqliyyat/avtomobiller/48221831", "Linke kec")</f>
        <v>Linke kec</v>
      </c>
    </row>
    <row r="412" spans="1:3" x14ac:dyDescent="0.3">
      <c r="A412" t="s">
        <v>291</v>
      </c>
      <c r="B412" t="s">
        <v>86</v>
      </c>
      <c r="C412" t="str">
        <f>HYPERLINK("https://tap.az/elanlar/neqliyyat/avtomobiller/48527008", "Linke kec")</f>
        <v>Linke kec</v>
      </c>
    </row>
    <row r="413" spans="1:3" x14ac:dyDescent="0.3">
      <c r="A413" t="s">
        <v>251</v>
      </c>
      <c r="B413" t="s">
        <v>122</v>
      </c>
      <c r="C413" t="str">
        <f>HYPERLINK("https://tap.az/elanlar/neqliyyat/avtomobiller/48526896", "Linke kec")</f>
        <v>Linke kec</v>
      </c>
    </row>
    <row r="414" spans="1:3" x14ac:dyDescent="0.3">
      <c r="A414" t="s">
        <v>250</v>
      </c>
      <c r="B414" t="s">
        <v>127</v>
      </c>
      <c r="C414" t="str">
        <f>HYPERLINK("https://tap.az/elanlar/neqliyyat/avtomobiller/47507116", "Linke kec")</f>
        <v>Linke kec</v>
      </c>
    </row>
    <row r="415" spans="1:3" x14ac:dyDescent="0.3">
      <c r="A415" t="s">
        <v>405</v>
      </c>
      <c r="B415" t="s">
        <v>207</v>
      </c>
      <c r="C415" t="str">
        <f>HYPERLINK("https://tap.az/elanlar/neqliyyat/avtomobiller/48526705", "Linke kec")</f>
        <v>Linke kec</v>
      </c>
    </row>
    <row r="416" spans="1:3" x14ac:dyDescent="0.3">
      <c r="A416" t="s">
        <v>406</v>
      </c>
      <c r="B416" t="s">
        <v>90</v>
      </c>
      <c r="C416" t="str">
        <f>HYPERLINK("https://tap.az/elanlar/neqliyyat/avtomobiller/47204540", "Linke kec")</f>
        <v>Linke kec</v>
      </c>
    </row>
    <row r="417" spans="1:3" x14ac:dyDescent="0.3">
      <c r="A417" t="s">
        <v>308</v>
      </c>
      <c r="B417" t="s">
        <v>407</v>
      </c>
      <c r="C417" t="str">
        <f>HYPERLINK("https://tap.az/elanlar/neqliyyat/avtomobiller/47163113", "Linke kec")</f>
        <v>Linke kec</v>
      </c>
    </row>
    <row r="418" spans="1:3" x14ac:dyDescent="0.3">
      <c r="A418" t="s">
        <v>408</v>
      </c>
      <c r="B418" t="s">
        <v>258</v>
      </c>
      <c r="C418" t="str">
        <f>HYPERLINK("https://tap.az/elanlar/neqliyyat/avtomobiller/48526518", "Linke kec")</f>
        <v>Linke kec</v>
      </c>
    </row>
    <row r="419" spans="1:3" x14ac:dyDescent="0.3">
      <c r="A419" t="s">
        <v>29</v>
      </c>
      <c r="B419" t="s">
        <v>30</v>
      </c>
      <c r="C419" t="str">
        <f>HYPERLINK("https://tap.az/elanlar/neqliyyat/avtomobiller/48526437", "Linke kec")</f>
        <v>Linke kec</v>
      </c>
    </row>
    <row r="420" spans="1:3" x14ac:dyDescent="0.3">
      <c r="A420" t="s">
        <v>9</v>
      </c>
      <c r="B420" t="s">
        <v>14</v>
      </c>
      <c r="C420" t="str">
        <f>HYPERLINK("https://tap.az/elanlar/neqliyyat/avtomobiller/48525763", "Linke kec")</f>
        <v>Linke kec</v>
      </c>
    </row>
    <row r="421" spans="1:3" x14ac:dyDescent="0.3">
      <c r="A421" t="s">
        <v>409</v>
      </c>
      <c r="B421" t="s">
        <v>207</v>
      </c>
      <c r="C421" t="str">
        <f>HYPERLINK("https://tap.az/elanlar/neqliyyat/avtomobiller/48231776", "Linke kec")</f>
        <v>Linke kec</v>
      </c>
    </row>
    <row r="422" spans="1:3" x14ac:dyDescent="0.3">
      <c r="A422" t="s">
        <v>410</v>
      </c>
      <c r="B422" t="s">
        <v>411</v>
      </c>
      <c r="C422" t="str">
        <f>HYPERLINK("https://tap.az/elanlar/neqliyyat/avtomobiller/47942484", "Linke kec")</f>
        <v>Linke kec</v>
      </c>
    </row>
    <row r="423" spans="1:3" x14ac:dyDescent="0.3">
      <c r="A423" t="s">
        <v>200</v>
      </c>
      <c r="B423" t="s">
        <v>93</v>
      </c>
      <c r="C423" t="str">
        <f>HYPERLINK("https://tap.az/elanlar/neqliyyat/avtomobiller/48524882", "Linke kec")</f>
        <v>Linke kec</v>
      </c>
    </row>
    <row r="424" spans="1:3" x14ac:dyDescent="0.3">
      <c r="A424" t="s">
        <v>196</v>
      </c>
      <c r="B424" t="s">
        <v>139</v>
      </c>
      <c r="C424" t="str">
        <f>HYPERLINK("https://tap.az/elanlar/neqliyyat/avtomobiller/48524158", "Linke kec")</f>
        <v>Linke kec</v>
      </c>
    </row>
    <row r="425" spans="1:3" x14ac:dyDescent="0.3">
      <c r="A425" t="s">
        <v>412</v>
      </c>
      <c r="B425" t="s">
        <v>226</v>
      </c>
      <c r="C425" t="str">
        <f>HYPERLINK("https://tap.az/elanlar/neqliyyat/avtomobiller/48523980", "Linke kec")</f>
        <v>Linke kec</v>
      </c>
    </row>
    <row r="426" spans="1:3" x14ac:dyDescent="0.3">
      <c r="A426" t="s">
        <v>413</v>
      </c>
      <c r="B426" t="s">
        <v>414</v>
      </c>
      <c r="C426" t="str">
        <f>HYPERLINK("https://tap.az/elanlar/neqliyyat/avtomobiller/46359978", "Linke kec")</f>
        <v>Linke kec</v>
      </c>
    </row>
    <row r="427" spans="1:3" x14ac:dyDescent="0.3">
      <c r="A427" t="s">
        <v>31</v>
      </c>
      <c r="B427" t="s">
        <v>415</v>
      </c>
      <c r="C427" t="str">
        <f>HYPERLINK("https://tap.az/elanlar/neqliyyat/avtomobiller/48012587", "Linke kec")</f>
        <v>Linke kec</v>
      </c>
    </row>
    <row r="428" spans="1:3" x14ac:dyDescent="0.3">
      <c r="A428" t="s">
        <v>416</v>
      </c>
      <c r="B428" t="s">
        <v>93</v>
      </c>
      <c r="C428" t="str">
        <f>HYPERLINK("https://tap.az/elanlar/neqliyyat/avtomobiller/48518569", "Linke kec")</f>
        <v>Linke kec</v>
      </c>
    </row>
    <row r="429" spans="1:3" x14ac:dyDescent="0.3">
      <c r="A429" t="s">
        <v>128</v>
      </c>
      <c r="B429" t="s">
        <v>314</v>
      </c>
      <c r="C429" t="str">
        <f>HYPERLINK("https://tap.az/elanlar/neqliyyat/avtomobiller/48522200", "Linke kec")</f>
        <v>Linke kec</v>
      </c>
    </row>
    <row r="430" spans="1:3" x14ac:dyDescent="0.3">
      <c r="A430" t="s">
        <v>200</v>
      </c>
      <c r="B430" t="s">
        <v>417</v>
      </c>
      <c r="C430" t="str">
        <f>HYPERLINK("https://tap.az/elanlar/neqliyyat/avtomobiller/48522153", "Linke kec")</f>
        <v>Linke kec</v>
      </c>
    </row>
    <row r="431" spans="1:3" x14ac:dyDescent="0.3">
      <c r="A431" t="s">
        <v>418</v>
      </c>
      <c r="B431" t="s">
        <v>264</v>
      </c>
      <c r="C431" t="str">
        <f>HYPERLINK("https://tap.az/elanlar/neqliyyat/avtomobiller/48483719", "Linke kec")</f>
        <v>Linke kec</v>
      </c>
    </row>
    <row r="432" spans="1:3" x14ac:dyDescent="0.3">
      <c r="A432" t="s">
        <v>419</v>
      </c>
      <c r="B432" t="s">
        <v>197</v>
      </c>
      <c r="C432" t="str">
        <f>HYPERLINK("https://tap.az/elanlar/neqliyyat/avtomobiller/45670710", "Linke kec")</f>
        <v>Linke kec</v>
      </c>
    </row>
    <row r="433" spans="1:3" x14ac:dyDescent="0.3">
      <c r="A433" t="s">
        <v>53</v>
      </c>
      <c r="B433" t="s">
        <v>40</v>
      </c>
      <c r="C433" t="str">
        <f>HYPERLINK("https://tap.az/elanlar/neqliyyat/avtomobiller/48521468", "Linke kec")</f>
        <v>Linke kec</v>
      </c>
    </row>
    <row r="434" spans="1:3" x14ac:dyDescent="0.3">
      <c r="A434" t="s">
        <v>157</v>
      </c>
      <c r="B434" t="s">
        <v>420</v>
      </c>
      <c r="C434" t="str">
        <f>HYPERLINK("https://tap.az/elanlar/neqliyyat/avtomobiller/48397700", "Linke kec")</f>
        <v>Linke kec</v>
      </c>
    </row>
    <row r="435" spans="1:3" x14ac:dyDescent="0.3">
      <c r="A435" t="s">
        <v>248</v>
      </c>
      <c r="B435" t="s">
        <v>421</v>
      </c>
      <c r="C435" t="str">
        <f>HYPERLINK("https://tap.az/elanlar/neqliyyat/avtomobiller/48427900", "Linke kec")</f>
        <v>Linke kec</v>
      </c>
    </row>
    <row r="436" spans="1:3" x14ac:dyDescent="0.3">
      <c r="A436" t="s">
        <v>78</v>
      </c>
      <c r="B436" t="s">
        <v>18</v>
      </c>
      <c r="C436" t="str">
        <f>HYPERLINK("https://tap.az/elanlar/neqliyyat/avtomobiller/48520338", "Linke kec")</f>
        <v>Linke kec</v>
      </c>
    </row>
    <row r="437" spans="1:3" x14ac:dyDescent="0.3">
      <c r="A437" t="s">
        <v>348</v>
      </c>
      <c r="B437" t="s">
        <v>70</v>
      </c>
      <c r="C437" t="str">
        <f>HYPERLINK("https://tap.az/elanlar/neqliyyat/avtomobiller/48254245", "Linke kec")</f>
        <v>Linke kec</v>
      </c>
    </row>
    <row r="438" spans="1:3" x14ac:dyDescent="0.3">
      <c r="A438" t="s">
        <v>392</v>
      </c>
      <c r="B438" t="s">
        <v>46</v>
      </c>
      <c r="C438" t="str">
        <f>HYPERLINK("https://tap.az/elanlar/neqliyyat/avtomobiller/47617235", "Linke kec")</f>
        <v>Linke kec</v>
      </c>
    </row>
    <row r="439" spans="1:3" x14ac:dyDescent="0.3">
      <c r="A439" t="s">
        <v>113</v>
      </c>
      <c r="B439" t="s">
        <v>103</v>
      </c>
      <c r="C439" t="str">
        <f>HYPERLINK("https://tap.az/elanlar/neqliyyat/avtomobiller/48520272", "Linke kec")</f>
        <v>Linke kec</v>
      </c>
    </row>
    <row r="440" spans="1:3" x14ac:dyDescent="0.3">
      <c r="A440" t="s">
        <v>95</v>
      </c>
      <c r="B440" t="s">
        <v>222</v>
      </c>
      <c r="C440" t="str">
        <f>HYPERLINK("https://tap.az/elanlar/neqliyyat/avtomobiller/48496950", "Linke kec")</f>
        <v>Linke kec</v>
      </c>
    </row>
    <row r="441" spans="1:3" x14ac:dyDescent="0.3">
      <c r="A441" t="s">
        <v>260</v>
      </c>
      <c r="B441" t="s">
        <v>207</v>
      </c>
      <c r="C441" t="str">
        <f>HYPERLINK("https://tap.az/elanlar/neqliyyat/avtomobiller/47983244", "Linke kec")</f>
        <v>Linke kec</v>
      </c>
    </row>
    <row r="442" spans="1:3" x14ac:dyDescent="0.3">
      <c r="A442" t="s">
        <v>78</v>
      </c>
      <c r="B442" t="s">
        <v>422</v>
      </c>
      <c r="C442" t="str">
        <f>HYPERLINK("https://tap.az/elanlar/neqliyyat/avtomobiller/48412180", "Linke kec")</f>
        <v>Linke kec</v>
      </c>
    </row>
    <row r="443" spans="1:3" x14ac:dyDescent="0.3">
      <c r="A443" t="s">
        <v>155</v>
      </c>
      <c r="B443" t="s">
        <v>90</v>
      </c>
      <c r="C443" t="str">
        <f>HYPERLINK("https://tap.az/elanlar/neqliyyat/avtomobiller/48519775", "Linke kec")</f>
        <v>Linke kec</v>
      </c>
    </row>
    <row r="444" spans="1:3" x14ac:dyDescent="0.3">
      <c r="A444" t="s">
        <v>67</v>
      </c>
      <c r="B444" t="s">
        <v>423</v>
      </c>
      <c r="C444" t="str">
        <f>HYPERLINK("https://tap.az/elanlar/neqliyyat/avtomobiller/48519656", "Linke kec")</f>
        <v>Linke kec</v>
      </c>
    </row>
    <row r="445" spans="1:3" x14ac:dyDescent="0.3">
      <c r="A445" t="s">
        <v>348</v>
      </c>
      <c r="B445" t="s">
        <v>58</v>
      </c>
      <c r="C445" t="str">
        <f>HYPERLINK("https://tap.az/elanlar/neqliyyat/avtomobiller/46158260", "Linke kec")</f>
        <v>Linke kec</v>
      </c>
    </row>
    <row r="446" spans="1:3" x14ac:dyDescent="0.3">
      <c r="A446" t="s">
        <v>282</v>
      </c>
      <c r="B446" t="s">
        <v>424</v>
      </c>
      <c r="C446" t="str">
        <f>HYPERLINK("https://tap.az/elanlar/neqliyyat/avtomobiller/48519365", "Linke kec")</f>
        <v>Linke kec</v>
      </c>
    </row>
    <row r="447" spans="1:3" x14ac:dyDescent="0.3">
      <c r="A447" t="s">
        <v>228</v>
      </c>
      <c r="B447" t="s">
        <v>425</v>
      </c>
      <c r="C447" t="str">
        <f>HYPERLINK("https://tap.az/elanlar/neqliyyat/avtomobiller/48519206", "Linke kec")</f>
        <v>Linke kec</v>
      </c>
    </row>
    <row r="448" spans="1:3" x14ac:dyDescent="0.3">
      <c r="A448" t="s">
        <v>426</v>
      </c>
      <c r="B448" t="s">
        <v>267</v>
      </c>
      <c r="C448" t="str">
        <f>HYPERLINK("https://tap.az/elanlar/neqliyyat/avtomobiller/48518894", "Linke kec")</f>
        <v>Linke kec</v>
      </c>
    </row>
    <row r="449" spans="1:3" x14ac:dyDescent="0.3">
      <c r="A449" t="s">
        <v>53</v>
      </c>
      <c r="B449" t="s">
        <v>415</v>
      </c>
      <c r="C449" t="str">
        <f>HYPERLINK("https://tap.az/elanlar/neqliyyat/avtomobiller/48518800", "Linke kec")</f>
        <v>Linke kec</v>
      </c>
    </row>
    <row r="450" spans="1:3" x14ac:dyDescent="0.3">
      <c r="A450" t="s">
        <v>11</v>
      </c>
      <c r="B450" t="s">
        <v>14</v>
      </c>
      <c r="C450" t="str">
        <f>HYPERLINK("https://tap.az/elanlar/neqliyyat/avtomobiller/48518630", "Linke kec")</f>
        <v>Linke kec</v>
      </c>
    </row>
    <row r="451" spans="1:3" x14ac:dyDescent="0.3">
      <c r="A451" t="s">
        <v>427</v>
      </c>
      <c r="B451" t="s">
        <v>428</v>
      </c>
      <c r="C451" t="str">
        <f>HYPERLINK("https://tap.az/elanlar/neqliyyat/avtomobiller/48444384", "Linke kec")</f>
        <v>Linke kec</v>
      </c>
    </row>
    <row r="452" spans="1:3" x14ac:dyDescent="0.3">
      <c r="A452" t="s">
        <v>201</v>
      </c>
      <c r="B452" t="s">
        <v>429</v>
      </c>
      <c r="C452" t="str">
        <f>HYPERLINK("https://tap.az/elanlar/neqliyyat/avtomobiller/48518528", "Linke kec")</f>
        <v>Linke kec</v>
      </c>
    </row>
    <row r="453" spans="1:3" x14ac:dyDescent="0.3">
      <c r="A453" t="s">
        <v>248</v>
      </c>
      <c r="B453" t="s">
        <v>430</v>
      </c>
      <c r="C453" t="str">
        <f>HYPERLINK("https://tap.az/elanlar/neqliyyat/avtomobiller/48518427", "Linke kec")</f>
        <v>Linke kec</v>
      </c>
    </row>
    <row r="454" spans="1:3" x14ac:dyDescent="0.3">
      <c r="A454" t="s">
        <v>240</v>
      </c>
      <c r="B454" t="s">
        <v>431</v>
      </c>
      <c r="C454" t="str">
        <f>HYPERLINK("https://tap.az/elanlar/neqliyyat/avtomobiller/48518243", "Linke kec")</f>
        <v>Linke kec</v>
      </c>
    </row>
    <row r="455" spans="1:3" x14ac:dyDescent="0.3">
      <c r="A455" t="s">
        <v>136</v>
      </c>
      <c r="B455" t="s">
        <v>314</v>
      </c>
      <c r="C455" t="str">
        <f>HYPERLINK("https://tap.az/elanlar/neqliyyat/avtomobiller/48517317", "Linke kec")</f>
        <v>Linke kec</v>
      </c>
    </row>
    <row r="456" spans="1:3" x14ac:dyDescent="0.3">
      <c r="A456" t="s">
        <v>55</v>
      </c>
      <c r="B456" t="s">
        <v>432</v>
      </c>
      <c r="C456" t="str">
        <f>HYPERLINK("https://tap.az/elanlar/neqliyyat/avtomobiller/48516840", "Linke kec")</f>
        <v>Linke kec</v>
      </c>
    </row>
    <row r="457" spans="1:3" x14ac:dyDescent="0.3">
      <c r="A457" t="s">
        <v>37</v>
      </c>
      <c r="B457" t="s">
        <v>433</v>
      </c>
      <c r="C457" t="str">
        <f>HYPERLINK("https://tap.az/elanlar/neqliyyat/avtomobiller/46506956", "Linke kec")</f>
        <v>Linke kec</v>
      </c>
    </row>
    <row r="458" spans="1:3" x14ac:dyDescent="0.3">
      <c r="A458" t="s">
        <v>200</v>
      </c>
      <c r="B458" t="s">
        <v>122</v>
      </c>
      <c r="C458" t="str">
        <f>HYPERLINK("https://tap.az/elanlar/neqliyyat/avtomobiller/48516148", "Linke kec")</f>
        <v>Linke kec</v>
      </c>
    </row>
    <row r="459" spans="1:3" x14ac:dyDescent="0.3">
      <c r="A459" t="s">
        <v>33</v>
      </c>
      <c r="B459" t="s">
        <v>361</v>
      </c>
      <c r="C459" t="str">
        <f>HYPERLINK("https://tap.az/elanlar/neqliyyat/avtomobiller/48516119", "Linke kec")</f>
        <v>Linke kec</v>
      </c>
    </row>
    <row r="460" spans="1:3" x14ac:dyDescent="0.3">
      <c r="A460" t="s">
        <v>408</v>
      </c>
      <c r="B460" t="s">
        <v>198</v>
      </c>
      <c r="C460" t="str">
        <f>HYPERLINK("https://tap.az/elanlar/neqliyyat/avtomobiller/48515635", "Linke kec")</f>
        <v>Linke kec</v>
      </c>
    </row>
    <row r="461" spans="1:3" x14ac:dyDescent="0.3">
      <c r="A461" t="s">
        <v>211</v>
      </c>
      <c r="B461" t="s">
        <v>139</v>
      </c>
      <c r="C461" t="str">
        <f>HYPERLINK("https://tap.az/elanlar/neqliyyat/avtomobiller/48515552", "Linke kec")</f>
        <v>Linke kec</v>
      </c>
    </row>
    <row r="462" spans="1:3" x14ac:dyDescent="0.3">
      <c r="A462" t="s">
        <v>161</v>
      </c>
      <c r="B462" t="s">
        <v>178</v>
      </c>
      <c r="C462" t="str">
        <f>HYPERLINK("https://tap.az/elanlar/neqliyyat/avtomobiller/48515390", "Linke kec")</f>
        <v>Linke kec</v>
      </c>
    </row>
    <row r="463" spans="1:3" x14ac:dyDescent="0.3">
      <c r="A463" t="s">
        <v>179</v>
      </c>
      <c r="B463" t="s">
        <v>213</v>
      </c>
      <c r="C463" t="str">
        <f>HYPERLINK("https://tap.az/elanlar/neqliyyat/avtomobiller/48206947", "Linke kec")</f>
        <v>Linke kec</v>
      </c>
    </row>
    <row r="464" spans="1:3" x14ac:dyDescent="0.3">
      <c r="A464" t="s">
        <v>385</v>
      </c>
      <c r="B464" t="s">
        <v>239</v>
      </c>
      <c r="C464" t="str">
        <f>HYPERLINK("https://tap.az/elanlar/neqliyyat/avtomobiller/48514671", "Linke kec")</f>
        <v>Linke kec</v>
      </c>
    </row>
    <row r="465" spans="1:3" x14ac:dyDescent="0.3">
      <c r="A465" t="s">
        <v>232</v>
      </c>
      <c r="B465" t="s">
        <v>116</v>
      </c>
      <c r="C465" t="str">
        <f>HYPERLINK("https://tap.az/elanlar/neqliyyat/avtomobiller/48513934", "Linke kec")</f>
        <v>Linke kec</v>
      </c>
    </row>
    <row r="466" spans="1:3" x14ac:dyDescent="0.3">
      <c r="A466" t="s">
        <v>146</v>
      </c>
      <c r="B466" t="s">
        <v>93</v>
      </c>
      <c r="C466" t="str">
        <f>HYPERLINK("https://tap.az/elanlar/neqliyyat/avtomobiller/48513716", "Linke kec")</f>
        <v>Linke kec</v>
      </c>
    </row>
    <row r="467" spans="1:3" x14ac:dyDescent="0.3">
      <c r="A467" t="s">
        <v>243</v>
      </c>
      <c r="B467" t="s">
        <v>46</v>
      </c>
      <c r="C467" t="str">
        <f>HYPERLINK("https://tap.az/elanlar/neqliyyat/avtomobiller/48513501", "Linke kec")</f>
        <v>Linke kec</v>
      </c>
    </row>
    <row r="468" spans="1:3" x14ac:dyDescent="0.3">
      <c r="A468" t="s">
        <v>434</v>
      </c>
      <c r="B468" t="s">
        <v>28</v>
      </c>
      <c r="C468" t="str">
        <f>HYPERLINK("https://tap.az/elanlar/neqliyyat/avtomobiller/47501812", "Linke kec")</f>
        <v>Linke kec</v>
      </c>
    </row>
    <row r="469" spans="1:3" x14ac:dyDescent="0.3">
      <c r="A469" t="s">
        <v>78</v>
      </c>
      <c r="B469" t="s">
        <v>20</v>
      </c>
      <c r="C469" t="str">
        <f>HYPERLINK("https://tap.az/elanlar/neqliyyat/avtomobiller/48513258", "Linke kec")</f>
        <v>Linke kec</v>
      </c>
    </row>
    <row r="470" spans="1:3" x14ac:dyDescent="0.3">
      <c r="A470" t="s">
        <v>67</v>
      </c>
      <c r="B470" t="s">
        <v>58</v>
      </c>
      <c r="C470" t="str">
        <f>HYPERLINK("https://tap.az/elanlar/neqliyyat/avtomobiller/48512809", "Linke kec")</f>
        <v>Linke kec</v>
      </c>
    </row>
    <row r="471" spans="1:3" x14ac:dyDescent="0.3">
      <c r="A471" t="s">
        <v>67</v>
      </c>
      <c r="B471" t="s">
        <v>197</v>
      </c>
      <c r="C471" t="str">
        <f>HYPERLINK("https://tap.az/elanlar/neqliyyat/avtomobiller/48206619", "Linke kec")</f>
        <v>Linke kec</v>
      </c>
    </row>
    <row r="472" spans="1:3" x14ac:dyDescent="0.3">
      <c r="A472" t="s">
        <v>132</v>
      </c>
      <c r="B472" t="s">
        <v>435</v>
      </c>
      <c r="C472" t="str">
        <f>HYPERLINK("https://tap.az/elanlar/neqliyyat/avtomobiller/47808616", "Linke kec")</f>
        <v>Linke kec</v>
      </c>
    </row>
    <row r="473" spans="1:3" x14ac:dyDescent="0.3">
      <c r="A473" t="s">
        <v>436</v>
      </c>
      <c r="B473" t="s">
        <v>437</v>
      </c>
      <c r="C473" t="str">
        <f>HYPERLINK("https://tap.az/elanlar/neqliyyat/avtomobiller/47708807", "Linke kec")</f>
        <v>Linke kec</v>
      </c>
    </row>
    <row r="474" spans="1:3" x14ac:dyDescent="0.3">
      <c r="A474" t="s">
        <v>165</v>
      </c>
      <c r="B474" t="s">
        <v>438</v>
      </c>
      <c r="C474" t="str">
        <f>HYPERLINK("https://tap.az/elanlar/neqliyyat/avtomobiller/48391810", "Linke kec")</f>
        <v>Linke kec</v>
      </c>
    </row>
    <row r="475" spans="1:3" x14ac:dyDescent="0.3">
      <c r="A475" t="s">
        <v>136</v>
      </c>
      <c r="B475" t="s">
        <v>101</v>
      </c>
      <c r="C475" t="str">
        <f>HYPERLINK("https://tap.az/elanlar/neqliyyat/avtomobiller/48511881", "Linke kec")</f>
        <v>Linke kec</v>
      </c>
    </row>
    <row r="476" spans="1:3" x14ac:dyDescent="0.3">
      <c r="A476" t="s">
        <v>439</v>
      </c>
      <c r="B476" t="s">
        <v>66</v>
      </c>
      <c r="C476" t="str">
        <f>HYPERLINK("https://tap.az/elanlar/neqliyyat/avtomobiller/48511735", "Linke kec")</f>
        <v>Linke kec</v>
      </c>
    </row>
    <row r="477" spans="1:3" x14ac:dyDescent="0.3">
      <c r="A477" t="s">
        <v>63</v>
      </c>
      <c r="B477" t="s">
        <v>222</v>
      </c>
      <c r="C477" t="str">
        <f>HYPERLINK("https://tap.az/elanlar/neqliyyat/avtomobiller/48511661", "Linke kec")</f>
        <v>Linke kec</v>
      </c>
    </row>
    <row r="478" spans="1:3" x14ac:dyDescent="0.3">
      <c r="A478" t="s">
        <v>200</v>
      </c>
      <c r="B478" t="s">
        <v>122</v>
      </c>
      <c r="C478" t="str">
        <f>HYPERLINK("https://tap.az/elanlar/neqliyyat/avtomobiller/45776564", "Linke kec")</f>
        <v>Linke kec</v>
      </c>
    </row>
    <row r="479" spans="1:3" x14ac:dyDescent="0.3">
      <c r="A479" t="s">
        <v>440</v>
      </c>
      <c r="B479" t="s">
        <v>441</v>
      </c>
      <c r="C479" t="str">
        <f>HYPERLINK("https://tap.az/elanlar/neqliyyat/avtomobiller/48511518", "Linke kec")</f>
        <v>Linke kec</v>
      </c>
    </row>
    <row r="480" spans="1:3" x14ac:dyDescent="0.3">
      <c r="A480" t="s">
        <v>45</v>
      </c>
      <c r="B480" t="s">
        <v>93</v>
      </c>
      <c r="C480" t="str">
        <f>HYPERLINK("https://tap.az/elanlar/neqliyyat/avtomobiller/48511390", "Linke kec")</f>
        <v>Linke kec</v>
      </c>
    </row>
    <row r="481" spans="1:3" x14ac:dyDescent="0.3">
      <c r="A481" t="s">
        <v>126</v>
      </c>
      <c r="B481" t="s">
        <v>417</v>
      </c>
      <c r="C481" t="str">
        <f>HYPERLINK("https://tap.az/elanlar/neqliyyat/avtomobiller/48511246", "Linke kec")</f>
        <v>Linke kec</v>
      </c>
    </row>
    <row r="482" spans="1:3" x14ac:dyDescent="0.3">
      <c r="A482" t="s">
        <v>442</v>
      </c>
      <c r="B482" t="s">
        <v>20</v>
      </c>
      <c r="C482" t="str">
        <f>HYPERLINK("https://tap.az/elanlar/neqliyyat/avtomobiller/48511150", "Linke kec")</f>
        <v>Linke kec</v>
      </c>
    </row>
    <row r="483" spans="1:3" x14ac:dyDescent="0.3">
      <c r="A483" t="s">
        <v>296</v>
      </c>
      <c r="B483" t="s">
        <v>143</v>
      </c>
      <c r="C483" t="str">
        <f>HYPERLINK("https://tap.az/elanlar/neqliyyat/avtomobiller/48511084", "Linke kec")</f>
        <v>Linke kec</v>
      </c>
    </row>
    <row r="484" spans="1:3" x14ac:dyDescent="0.3">
      <c r="A484" t="s">
        <v>270</v>
      </c>
      <c r="B484" t="s">
        <v>46</v>
      </c>
      <c r="C484" t="str">
        <f>HYPERLINK("https://tap.az/elanlar/neqliyyat/avtomobiller/48511044", "Linke kec")</f>
        <v>Linke kec</v>
      </c>
    </row>
    <row r="485" spans="1:3" x14ac:dyDescent="0.3">
      <c r="A485" t="s">
        <v>63</v>
      </c>
      <c r="B485" t="s">
        <v>90</v>
      </c>
      <c r="C485" t="str">
        <f>HYPERLINK("https://tap.az/elanlar/neqliyyat/avtomobiller/48510756", "Linke kec")</f>
        <v>Linke kec</v>
      </c>
    </row>
    <row r="486" spans="1:3" x14ac:dyDescent="0.3">
      <c r="A486" t="s">
        <v>11</v>
      </c>
      <c r="B486" t="s">
        <v>197</v>
      </c>
      <c r="C486" t="str">
        <f>HYPERLINK("https://tap.az/elanlar/neqliyyat/avtomobiller/48510492", "Linke kec")</f>
        <v>Linke kec</v>
      </c>
    </row>
    <row r="487" spans="1:3" x14ac:dyDescent="0.3">
      <c r="A487" t="s">
        <v>443</v>
      </c>
      <c r="B487" t="s">
        <v>229</v>
      </c>
      <c r="C487" t="str">
        <f>HYPERLINK("https://tap.az/elanlar/neqliyyat/avtomobiller/48510392", "Linke kec")</f>
        <v>Linke kec</v>
      </c>
    </row>
    <row r="488" spans="1:3" x14ac:dyDescent="0.3">
      <c r="A488" t="s">
        <v>161</v>
      </c>
      <c r="B488" t="s">
        <v>86</v>
      </c>
      <c r="C488" t="str">
        <f>HYPERLINK("https://tap.az/elanlar/neqliyyat/avtomobiller/48509538", "Linke kec")</f>
        <v>Linke kec</v>
      </c>
    </row>
    <row r="489" spans="1:3" x14ac:dyDescent="0.3">
      <c r="A489" t="s">
        <v>331</v>
      </c>
      <c r="B489" t="s">
        <v>114</v>
      </c>
      <c r="C489" t="str">
        <f>HYPERLINK("https://tap.az/elanlar/neqliyyat/avtomobiller/48252253", "Linke kec")</f>
        <v>Linke kec</v>
      </c>
    </row>
    <row r="490" spans="1:3" x14ac:dyDescent="0.3">
      <c r="A490" t="s">
        <v>240</v>
      </c>
      <c r="B490" t="s">
        <v>187</v>
      </c>
      <c r="C490" t="str">
        <f>HYPERLINK("https://tap.az/elanlar/neqliyyat/avtomobiller/48508865", "Linke kec")</f>
        <v>Linke kec</v>
      </c>
    </row>
    <row r="491" spans="1:3" x14ac:dyDescent="0.3">
      <c r="A491" t="s">
        <v>444</v>
      </c>
      <c r="B491" t="s">
        <v>40</v>
      </c>
      <c r="C491" t="str">
        <f>HYPERLINK("https://tap.az/elanlar/neqliyyat/avtomobiller/47894377", "Linke kec")</f>
        <v>Linke kec</v>
      </c>
    </row>
    <row r="492" spans="1:3" x14ac:dyDescent="0.3">
      <c r="A492" t="s">
        <v>94</v>
      </c>
      <c r="B492" t="s">
        <v>445</v>
      </c>
      <c r="C492" t="str">
        <f>HYPERLINK("https://tap.az/elanlar/neqliyyat/avtomobiller/48508328", "Linke kec")</f>
        <v>Linke kec</v>
      </c>
    </row>
    <row r="493" spans="1:3" x14ac:dyDescent="0.3">
      <c r="A493" t="s">
        <v>270</v>
      </c>
      <c r="B493" t="s">
        <v>14</v>
      </c>
      <c r="C493" t="str">
        <f>HYPERLINK("https://tap.az/elanlar/neqliyyat/avtomobiller/48507448", "Linke kec")</f>
        <v>Linke kec</v>
      </c>
    </row>
    <row r="494" spans="1:3" x14ac:dyDescent="0.3">
      <c r="A494" t="s">
        <v>7</v>
      </c>
      <c r="B494" t="s">
        <v>122</v>
      </c>
      <c r="C494" t="str">
        <f>HYPERLINK("https://tap.az/elanlar/neqliyyat/avtomobiller/48502930", "Linke kec")</f>
        <v>Linke kec</v>
      </c>
    </row>
    <row r="495" spans="1:3" x14ac:dyDescent="0.3">
      <c r="A495" t="s">
        <v>328</v>
      </c>
      <c r="B495" t="s">
        <v>446</v>
      </c>
      <c r="C495" t="str">
        <f>HYPERLINK("https://tap.az/elanlar/neqliyyat/avtomobiller/48022812", "Linke kec")</f>
        <v>Linke kec</v>
      </c>
    </row>
    <row r="496" spans="1:3" x14ac:dyDescent="0.3">
      <c r="A496" t="s">
        <v>447</v>
      </c>
      <c r="B496" t="s">
        <v>90</v>
      </c>
      <c r="C496" t="str">
        <f>HYPERLINK("https://tap.az/elanlar/neqliyyat/avtomobiller/48506020", "Linke kec")</f>
        <v>Linke kec</v>
      </c>
    </row>
    <row r="497" spans="1:3" x14ac:dyDescent="0.3">
      <c r="A497" t="s">
        <v>7</v>
      </c>
      <c r="B497" t="s">
        <v>185</v>
      </c>
      <c r="C497" t="str">
        <f>HYPERLINK("https://tap.az/elanlar/neqliyyat/avtomobiller/48506007", "Linke kec")</f>
        <v>Linke kec</v>
      </c>
    </row>
    <row r="498" spans="1:3" x14ac:dyDescent="0.3">
      <c r="A498" t="s">
        <v>348</v>
      </c>
      <c r="B498" t="s">
        <v>414</v>
      </c>
      <c r="C498" t="str">
        <f>HYPERLINK("https://tap.az/elanlar/neqliyyat/avtomobiller/48505789", "Linke kec")</f>
        <v>Linke kec</v>
      </c>
    </row>
    <row r="499" spans="1:3" x14ac:dyDescent="0.3">
      <c r="A499" t="s">
        <v>190</v>
      </c>
      <c r="B499" t="s">
        <v>116</v>
      </c>
      <c r="C499" t="str">
        <f>HYPERLINK("https://tap.az/elanlar/neqliyyat/avtomobiller/48505611", "Linke kec")</f>
        <v>Linke kec</v>
      </c>
    </row>
    <row r="500" spans="1:3" x14ac:dyDescent="0.3">
      <c r="A500" t="s">
        <v>7</v>
      </c>
      <c r="B500" t="s">
        <v>116</v>
      </c>
      <c r="C500" t="str">
        <f>HYPERLINK("https://tap.az/elanlar/neqliyyat/avtomobiller/47621091", "Linke kec")</f>
        <v>Linke kec</v>
      </c>
    </row>
    <row r="501" spans="1:3" x14ac:dyDescent="0.3">
      <c r="A501" t="s">
        <v>231</v>
      </c>
      <c r="B501" t="s">
        <v>448</v>
      </c>
      <c r="C501" t="str">
        <f>HYPERLINK("https://tap.az/elanlar/neqliyyat/avtomobiller/48504818", "Linke kec")</f>
        <v>Linke kec</v>
      </c>
    </row>
    <row r="502" spans="1:3" x14ac:dyDescent="0.3">
      <c r="A502" t="s">
        <v>378</v>
      </c>
      <c r="B502" t="s">
        <v>226</v>
      </c>
      <c r="C502" t="str">
        <f>HYPERLINK("https://tap.az/elanlar/neqliyyat/avtomobiller/48500927", "Linke kec")</f>
        <v>Linke kec</v>
      </c>
    </row>
    <row r="503" spans="1:3" x14ac:dyDescent="0.3">
      <c r="A503" t="s">
        <v>43</v>
      </c>
      <c r="B503" t="s">
        <v>314</v>
      </c>
      <c r="C503" t="str">
        <f>HYPERLINK("https://tap.az/elanlar/neqliyyat/avtomobiller/48445565", "Linke kec")</f>
        <v>Linke kec</v>
      </c>
    </row>
    <row r="504" spans="1:3" x14ac:dyDescent="0.3">
      <c r="A504" t="s">
        <v>449</v>
      </c>
      <c r="B504" t="s">
        <v>99</v>
      </c>
      <c r="C504" t="str">
        <f>HYPERLINK("https://tap.az/elanlar/neqliyyat/avtomobiller/47524013", "Linke kec")</f>
        <v>Linke kec</v>
      </c>
    </row>
    <row r="505" spans="1:3" x14ac:dyDescent="0.3">
      <c r="A505" t="s">
        <v>67</v>
      </c>
      <c r="B505" t="s">
        <v>280</v>
      </c>
      <c r="C505" t="str">
        <f>HYPERLINK("https://tap.az/elanlar/neqliyyat/avtomobiller/48503614", "Linke kec")</f>
        <v>Linke kec</v>
      </c>
    </row>
    <row r="506" spans="1:3" x14ac:dyDescent="0.3">
      <c r="A506" t="s">
        <v>450</v>
      </c>
      <c r="B506" t="s">
        <v>431</v>
      </c>
      <c r="C506" t="str">
        <f>HYPERLINK("https://tap.az/elanlar/neqliyyat/avtomobiller/48503350", "Linke kec")</f>
        <v>Linke kec</v>
      </c>
    </row>
    <row r="507" spans="1:3" x14ac:dyDescent="0.3">
      <c r="A507" t="s">
        <v>200</v>
      </c>
      <c r="B507" t="s">
        <v>116</v>
      </c>
      <c r="C507" t="str">
        <f>HYPERLINK("https://tap.az/elanlar/neqliyyat/avtomobiller/48503091", "Linke kec")</f>
        <v>Linke kec</v>
      </c>
    </row>
    <row r="508" spans="1:3" x14ac:dyDescent="0.3">
      <c r="A508" t="s">
        <v>223</v>
      </c>
      <c r="B508" t="s">
        <v>14</v>
      </c>
      <c r="C508" t="str">
        <f>HYPERLINK("https://tap.az/elanlar/neqliyyat/avtomobiller/48502660", "Linke kec")</f>
        <v>Linke kec</v>
      </c>
    </row>
    <row r="509" spans="1:3" x14ac:dyDescent="0.3">
      <c r="A509" t="s">
        <v>451</v>
      </c>
      <c r="B509" t="s">
        <v>452</v>
      </c>
      <c r="C509" t="str">
        <f>HYPERLINK("https://tap.az/elanlar/neqliyyat/avtomobiller/48502621", "Linke kec")</f>
        <v>Linke kec</v>
      </c>
    </row>
    <row r="510" spans="1:3" x14ac:dyDescent="0.3">
      <c r="A510" t="s">
        <v>77</v>
      </c>
      <c r="B510" t="s">
        <v>318</v>
      </c>
      <c r="C510" t="str">
        <f>HYPERLINK("https://tap.az/elanlar/neqliyyat/avtomobiller/48501864", "Linke kec")</f>
        <v>Linke kec</v>
      </c>
    </row>
    <row r="511" spans="1:3" x14ac:dyDescent="0.3">
      <c r="A511" t="s">
        <v>230</v>
      </c>
      <c r="B511" t="s">
        <v>259</v>
      </c>
      <c r="C511" t="str">
        <f>HYPERLINK("https://tap.az/elanlar/neqliyyat/avtomobiller/48501817", "Linke kec")</f>
        <v>Linke kec</v>
      </c>
    </row>
    <row r="512" spans="1:3" x14ac:dyDescent="0.3">
      <c r="A512" t="s">
        <v>200</v>
      </c>
      <c r="B512" t="s">
        <v>122</v>
      </c>
      <c r="C512" t="str">
        <f>HYPERLINK("https://tap.az/elanlar/neqliyyat/avtomobiller/48501733", "Linke kec")</f>
        <v>Linke kec</v>
      </c>
    </row>
    <row r="513" spans="1:3" x14ac:dyDescent="0.3">
      <c r="A513" t="s">
        <v>453</v>
      </c>
      <c r="B513" t="s">
        <v>14</v>
      </c>
      <c r="C513" t="str">
        <f>HYPERLINK("https://tap.az/elanlar/neqliyyat/avtomobiller/48467837", "Linke kec")</f>
        <v>Linke kec</v>
      </c>
    </row>
    <row r="514" spans="1:3" x14ac:dyDescent="0.3">
      <c r="A514" t="s">
        <v>454</v>
      </c>
      <c r="B514" t="s">
        <v>30</v>
      </c>
      <c r="C514" t="str">
        <f>HYPERLINK("https://tap.az/elanlar/neqliyyat/avtomobiller/48247183", "Linke kec")</f>
        <v>Linke kec</v>
      </c>
    </row>
    <row r="515" spans="1:3" x14ac:dyDescent="0.3">
      <c r="A515" t="s">
        <v>455</v>
      </c>
      <c r="B515" t="s">
        <v>151</v>
      </c>
      <c r="C515" t="str">
        <f>HYPERLINK("https://tap.az/elanlar/neqliyyat/avtomobiller/48501512", "Linke kec")</f>
        <v>Linke kec</v>
      </c>
    </row>
    <row r="516" spans="1:3" x14ac:dyDescent="0.3">
      <c r="A516" t="s">
        <v>311</v>
      </c>
      <c r="B516" t="s">
        <v>4</v>
      </c>
      <c r="C516" t="str">
        <f>HYPERLINK("https://tap.az/elanlar/neqliyyat/avtomobiller/48501487", "Linke kec")</f>
        <v>Linke kec</v>
      </c>
    </row>
    <row r="517" spans="1:3" x14ac:dyDescent="0.3">
      <c r="A517" t="s">
        <v>418</v>
      </c>
      <c r="B517" t="s">
        <v>125</v>
      </c>
      <c r="C517" t="str">
        <f>HYPERLINK("https://tap.az/elanlar/neqliyyat/avtomobiller/48215021", "Linke kec")</f>
        <v>Linke kec</v>
      </c>
    </row>
    <row r="518" spans="1:3" x14ac:dyDescent="0.3">
      <c r="A518" t="s">
        <v>77</v>
      </c>
      <c r="B518" t="s">
        <v>338</v>
      </c>
      <c r="C518" t="str">
        <f>HYPERLINK("https://tap.az/elanlar/neqliyyat/avtomobiller/48246974", "Linke kec")</f>
        <v>Linke kec</v>
      </c>
    </row>
    <row r="519" spans="1:3" x14ac:dyDescent="0.3">
      <c r="A519" t="s">
        <v>37</v>
      </c>
      <c r="B519" t="s">
        <v>192</v>
      </c>
      <c r="C519" t="str">
        <f>HYPERLINK("https://tap.az/elanlar/neqliyyat/avtomobiller/48501328", "Linke kec")</f>
        <v>Linke kec</v>
      </c>
    </row>
    <row r="520" spans="1:3" x14ac:dyDescent="0.3">
      <c r="A520" t="s">
        <v>456</v>
      </c>
      <c r="B520" t="s">
        <v>114</v>
      </c>
      <c r="C520" t="str">
        <f>HYPERLINK("https://tap.az/elanlar/neqliyyat/avtomobiller/48501256", "Linke kec")</f>
        <v>Linke kec</v>
      </c>
    </row>
    <row r="521" spans="1:3" x14ac:dyDescent="0.3">
      <c r="A521" t="s">
        <v>200</v>
      </c>
      <c r="B521" t="s">
        <v>259</v>
      </c>
      <c r="C521" t="str">
        <f>HYPERLINK("https://tap.az/elanlar/neqliyyat/avtomobiller/48499891", "Linke kec")</f>
        <v>Linke kec</v>
      </c>
    </row>
    <row r="522" spans="1:3" x14ac:dyDescent="0.3">
      <c r="A522" t="s">
        <v>457</v>
      </c>
      <c r="B522" t="s">
        <v>143</v>
      </c>
      <c r="C522" t="str">
        <f>HYPERLINK("https://tap.az/elanlar/neqliyyat/avtomobiller/46204144", "Linke kec")</f>
        <v>Linke kec</v>
      </c>
    </row>
    <row r="523" spans="1:3" x14ac:dyDescent="0.3">
      <c r="A523" t="s">
        <v>136</v>
      </c>
      <c r="B523" t="s">
        <v>187</v>
      </c>
      <c r="C523" t="str">
        <f>HYPERLINK("https://tap.az/elanlar/neqliyyat/avtomobiller/48499704", "Linke kec")</f>
        <v>Linke kec</v>
      </c>
    </row>
    <row r="524" spans="1:3" x14ac:dyDescent="0.3">
      <c r="A524" t="s">
        <v>94</v>
      </c>
      <c r="B524" t="s">
        <v>458</v>
      </c>
      <c r="C524" t="str">
        <f>HYPERLINK("https://tap.az/elanlar/neqliyyat/avtomobiller/48499565", "Linke kec")</f>
        <v>Linke kec</v>
      </c>
    </row>
    <row r="525" spans="1:3" x14ac:dyDescent="0.3">
      <c r="A525" t="s">
        <v>77</v>
      </c>
      <c r="B525" t="s">
        <v>459</v>
      </c>
      <c r="C525" t="str">
        <f>HYPERLINK("https://tap.az/elanlar/neqliyyat/avtomobiller/45785422", "Linke kec")</f>
        <v>Linke kec</v>
      </c>
    </row>
    <row r="526" spans="1:3" x14ac:dyDescent="0.3">
      <c r="A526" t="s">
        <v>146</v>
      </c>
      <c r="B526" t="s">
        <v>195</v>
      </c>
      <c r="C526" t="str">
        <f>HYPERLINK("https://tap.az/elanlar/neqliyyat/avtomobiller/48498892", "Linke kec")</f>
        <v>Linke kec</v>
      </c>
    </row>
    <row r="527" spans="1:3" x14ac:dyDescent="0.3">
      <c r="A527" t="s">
        <v>460</v>
      </c>
      <c r="B527" t="s">
        <v>461</v>
      </c>
      <c r="C527" t="str">
        <f>HYPERLINK("https://tap.az/elanlar/neqliyyat/avtomobiller/48498845", "Linke kec")</f>
        <v>Linke kec</v>
      </c>
    </row>
    <row r="528" spans="1:3" x14ac:dyDescent="0.3">
      <c r="A528" t="s">
        <v>181</v>
      </c>
      <c r="B528" t="s">
        <v>60</v>
      </c>
      <c r="C528" t="str">
        <f>HYPERLINK("https://tap.az/elanlar/neqliyyat/avtomobiller/46191198", "Linke kec")</f>
        <v>Linke kec</v>
      </c>
    </row>
    <row r="529" spans="1:3" x14ac:dyDescent="0.3">
      <c r="A529" t="s">
        <v>292</v>
      </c>
      <c r="B529" t="s">
        <v>50</v>
      </c>
      <c r="C529" t="str">
        <f>HYPERLINK("https://tap.az/elanlar/neqliyyat/avtomobiller/48498723", "Linke kec")</f>
        <v>Linke kec</v>
      </c>
    </row>
    <row r="530" spans="1:3" x14ac:dyDescent="0.3">
      <c r="A530" t="s">
        <v>462</v>
      </c>
      <c r="B530" t="s">
        <v>422</v>
      </c>
      <c r="C530" t="str">
        <f>HYPERLINK("https://tap.az/elanlar/neqliyyat/avtomobiller/48498527", "Linke kec")</f>
        <v>Linke kec</v>
      </c>
    </row>
    <row r="531" spans="1:3" x14ac:dyDescent="0.3">
      <c r="A531" t="s">
        <v>63</v>
      </c>
      <c r="B531" t="s">
        <v>90</v>
      </c>
      <c r="C531" t="str">
        <f>HYPERLINK("https://tap.az/elanlar/neqliyyat/avtomobiller/48498297", "Linke kec")</f>
        <v>Linke kec</v>
      </c>
    </row>
    <row r="532" spans="1:3" x14ac:dyDescent="0.3">
      <c r="A532" t="s">
        <v>463</v>
      </c>
      <c r="B532" t="s">
        <v>425</v>
      </c>
      <c r="C532" t="str">
        <f>HYPERLINK("https://tap.az/elanlar/neqliyyat/avtomobiller/48497218", "Linke kec")</f>
        <v>Linke kec</v>
      </c>
    </row>
    <row r="533" spans="1:3" x14ac:dyDescent="0.3">
      <c r="A533" t="s">
        <v>11</v>
      </c>
      <c r="B533" t="s">
        <v>267</v>
      </c>
      <c r="C533" t="str">
        <f>HYPERLINK("https://tap.az/elanlar/neqliyyat/avtomobiller/48187232", "Linke kec")</f>
        <v>Linke kec</v>
      </c>
    </row>
    <row r="534" spans="1:3" x14ac:dyDescent="0.3">
      <c r="A534" t="s">
        <v>464</v>
      </c>
      <c r="B534" t="s">
        <v>258</v>
      </c>
      <c r="C534" t="str">
        <f>HYPERLINK("https://tap.az/elanlar/neqliyyat/avtomobiller/47836407", "Linke kec")</f>
        <v>Linke kec</v>
      </c>
    </row>
    <row r="535" spans="1:3" x14ac:dyDescent="0.3">
      <c r="A535" t="s">
        <v>344</v>
      </c>
      <c r="B535" t="s">
        <v>259</v>
      </c>
      <c r="C535" t="str">
        <f>HYPERLINK("https://tap.az/elanlar/neqliyyat/avtomobiller/48496370", "Linke kec")</f>
        <v>Linke kec</v>
      </c>
    </row>
    <row r="536" spans="1:3" x14ac:dyDescent="0.3">
      <c r="A536" t="s">
        <v>344</v>
      </c>
      <c r="B536" t="s">
        <v>114</v>
      </c>
      <c r="C536" t="str">
        <f>HYPERLINK("https://tap.az/elanlar/neqliyyat/avtomobiller/47092353", "Linke kec")</f>
        <v>Linke kec</v>
      </c>
    </row>
    <row r="537" spans="1:3" x14ac:dyDescent="0.3">
      <c r="A537" t="s">
        <v>465</v>
      </c>
      <c r="B537" t="s">
        <v>258</v>
      </c>
      <c r="C537" t="str">
        <f>HYPERLINK("https://tap.az/elanlar/neqliyyat/avtomobiller/48459079", "Linke kec")</f>
        <v>Linke kec</v>
      </c>
    </row>
    <row r="538" spans="1:3" x14ac:dyDescent="0.3">
      <c r="A538" t="s">
        <v>466</v>
      </c>
      <c r="B538" t="s">
        <v>467</v>
      </c>
      <c r="C538" t="str">
        <f>HYPERLINK("https://tap.az/elanlar/neqliyyat/avtomobiller/48019119", "Linke kec")</f>
        <v>Linke kec</v>
      </c>
    </row>
    <row r="539" spans="1:3" x14ac:dyDescent="0.3">
      <c r="A539" t="s">
        <v>468</v>
      </c>
      <c r="B539" t="s">
        <v>125</v>
      </c>
      <c r="C539" t="str">
        <f>HYPERLINK("https://tap.az/elanlar/neqliyyat/avtomobiller/44194747", "Linke kec")</f>
        <v>Linke kec</v>
      </c>
    </row>
    <row r="540" spans="1:3" x14ac:dyDescent="0.3">
      <c r="A540" t="s">
        <v>469</v>
      </c>
      <c r="B540" t="s">
        <v>461</v>
      </c>
      <c r="C540" t="str">
        <f>HYPERLINK("https://tap.az/elanlar/neqliyyat/avtomobiller/48495751", "Linke kec")</f>
        <v>Linke kec</v>
      </c>
    </row>
    <row r="541" spans="1:3" x14ac:dyDescent="0.3">
      <c r="A541" t="s">
        <v>470</v>
      </c>
      <c r="B541" t="s">
        <v>415</v>
      </c>
      <c r="C541" t="str">
        <f>HYPERLINK("https://tap.az/elanlar/neqliyyat/avtomobiller/47786919", "Linke kec")</f>
        <v>Linke kec</v>
      </c>
    </row>
    <row r="542" spans="1:3" x14ac:dyDescent="0.3">
      <c r="A542" t="s">
        <v>471</v>
      </c>
      <c r="B542" t="s">
        <v>32</v>
      </c>
      <c r="C542" t="str">
        <f>HYPERLINK("https://tap.az/elanlar/neqliyyat/avtomobiller/48068966", "Linke kec")</f>
        <v>Linke kec</v>
      </c>
    </row>
    <row r="543" spans="1:3" x14ac:dyDescent="0.3">
      <c r="A543" t="s">
        <v>111</v>
      </c>
      <c r="B543" t="s">
        <v>207</v>
      </c>
      <c r="C543" t="str">
        <f>HYPERLINK("https://tap.az/elanlar/neqliyyat/avtomobiller/47019028", "Linke kec")</f>
        <v>Linke kec</v>
      </c>
    </row>
    <row r="544" spans="1:3" x14ac:dyDescent="0.3">
      <c r="A544" t="s">
        <v>232</v>
      </c>
      <c r="B544" t="s">
        <v>143</v>
      </c>
      <c r="C544" t="str">
        <f>HYPERLINK("https://tap.az/elanlar/neqliyyat/avtomobiller/48494680", "Linke kec")</f>
        <v>Linke kec</v>
      </c>
    </row>
    <row r="545" spans="1:3" x14ac:dyDescent="0.3">
      <c r="A545" t="s">
        <v>472</v>
      </c>
      <c r="B545" t="s">
        <v>58</v>
      </c>
      <c r="C545" t="str">
        <f>HYPERLINK("https://tap.az/elanlar/neqliyyat/avtomobiller/48240192", "Linke kec")</f>
        <v>Linke kec</v>
      </c>
    </row>
    <row r="546" spans="1:3" x14ac:dyDescent="0.3">
      <c r="A546" t="s">
        <v>473</v>
      </c>
      <c r="B546" t="s">
        <v>474</v>
      </c>
      <c r="C546" t="str">
        <f>HYPERLINK("https://tap.az/elanlar/neqliyyat/avtomobiller/48494297", "Linke kec")</f>
        <v>Linke kec</v>
      </c>
    </row>
    <row r="547" spans="1:3" x14ac:dyDescent="0.3">
      <c r="A547" t="s">
        <v>282</v>
      </c>
      <c r="B547" t="s">
        <v>475</v>
      </c>
      <c r="C547" t="str">
        <f>HYPERLINK("https://tap.az/elanlar/neqliyyat/avtomobiller/46881163", "Linke kec")</f>
        <v>Linke kec</v>
      </c>
    </row>
    <row r="548" spans="1:3" x14ac:dyDescent="0.3">
      <c r="A548" t="s">
        <v>476</v>
      </c>
      <c r="B548" t="s">
        <v>275</v>
      </c>
      <c r="C548" t="str">
        <f>HYPERLINK("https://tap.az/elanlar/neqliyyat/avtomobiller/48493271", "Linke kec")</f>
        <v>Linke kec</v>
      </c>
    </row>
    <row r="549" spans="1:3" x14ac:dyDescent="0.3">
      <c r="A549" t="s">
        <v>477</v>
      </c>
      <c r="B549" t="s">
        <v>298</v>
      </c>
      <c r="C549" t="str">
        <f>HYPERLINK("https://tap.az/elanlar/neqliyyat/avtomobiller/48492200", "Linke kec")</f>
        <v>Linke kec</v>
      </c>
    </row>
    <row r="550" spans="1:3" x14ac:dyDescent="0.3">
      <c r="A550" t="s">
        <v>478</v>
      </c>
      <c r="B550" t="s">
        <v>479</v>
      </c>
      <c r="C550" t="str">
        <f>HYPERLINK("https://tap.az/elanlar/neqliyyat/avtomobiller/48491001", "Linke kec")</f>
        <v>Linke kec</v>
      </c>
    </row>
    <row r="551" spans="1:3" x14ac:dyDescent="0.3">
      <c r="A551" t="s">
        <v>55</v>
      </c>
      <c r="B551" t="s">
        <v>162</v>
      </c>
      <c r="C551" t="str">
        <f>HYPERLINK("https://tap.az/elanlar/neqliyyat/avtomobiller/48490436", "Linke kec")</f>
        <v>Linke kec</v>
      </c>
    </row>
    <row r="552" spans="1:3" x14ac:dyDescent="0.3">
      <c r="A552" t="s">
        <v>250</v>
      </c>
      <c r="B552" t="s">
        <v>127</v>
      </c>
      <c r="C552" t="str">
        <f>HYPERLINK("https://tap.az/elanlar/neqliyyat/avtomobiller/48489941", "Linke kec")</f>
        <v>Linke kec</v>
      </c>
    </row>
    <row r="553" spans="1:3" x14ac:dyDescent="0.3">
      <c r="A553" t="s">
        <v>155</v>
      </c>
      <c r="B553" t="s">
        <v>143</v>
      </c>
      <c r="C553" t="str">
        <f>HYPERLINK("https://tap.az/elanlar/neqliyyat/avtomobiller/46137542", "Linke kec")</f>
        <v>Linke kec</v>
      </c>
    </row>
    <row r="554" spans="1:3" x14ac:dyDescent="0.3">
      <c r="A554" t="s">
        <v>480</v>
      </c>
      <c r="B554" t="s">
        <v>267</v>
      </c>
      <c r="C554" t="str">
        <f>HYPERLINK("https://tap.az/elanlar/neqliyyat/avtomobiller/48489287", "Linke kec")</f>
        <v>Linke kec</v>
      </c>
    </row>
    <row r="555" spans="1:3" x14ac:dyDescent="0.3">
      <c r="A555" t="s">
        <v>43</v>
      </c>
      <c r="B555" t="s">
        <v>281</v>
      </c>
      <c r="C555" t="str">
        <f>HYPERLINK("https://tap.az/elanlar/neqliyyat/avtomobiller/48488875", "Linke kec")</f>
        <v>Linke kec</v>
      </c>
    </row>
    <row r="556" spans="1:3" x14ac:dyDescent="0.3">
      <c r="A556" t="s">
        <v>481</v>
      </c>
      <c r="B556" t="s">
        <v>81</v>
      </c>
      <c r="C556" t="str">
        <f>HYPERLINK("https://tap.az/elanlar/neqliyyat/avtomobiller/48488842", "Linke kec")</f>
        <v>Linke kec</v>
      </c>
    </row>
    <row r="557" spans="1:3" x14ac:dyDescent="0.3">
      <c r="A557" t="s">
        <v>179</v>
      </c>
      <c r="B557" t="s">
        <v>186</v>
      </c>
      <c r="C557" t="str">
        <f>HYPERLINK("https://tap.az/elanlar/neqliyyat/avtomobiller/48408927", "Linke kec")</f>
        <v>Linke kec</v>
      </c>
    </row>
    <row r="558" spans="1:3" x14ac:dyDescent="0.3">
      <c r="A558" t="s">
        <v>366</v>
      </c>
      <c r="B558" t="s">
        <v>289</v>
      </c>
      <c r="C558" t="str">
        <f>HYPERLINK("https://tap.az/elanlar/neqliyyat/avtomobiller/48487806", "Linke kec")</f>
        <v>Linke kec</v>
      </c>
    </row>
    <row r="559" spans="1:3" x14ac:dyDescent="0.3">
      <c r="A559" t="s">
        <v>482</v>
      </c>
      <c r="B559" t="s">
        <v>483</v>
      </c>
      <c r="C559" t="str">
        <f>HYPERLINK("https://tap.az/elanlar/neqliyyat/avtomobiller/48487600", "Linke kec")</f>
        <v>Linke kec</v>
      </c>
    </row>
    <row r="560" spans="1:3" x14ac:dyDescent="0.3">
      <c r="A560" t="s">
        <v>25</v>
      </c>
      <c r="B560" t="s">
        <v>484</v>
      </c>
      <c r="C560" t="str">
        <f>HYPERLINK("https://tap.az/elanlar/neqliyyat/avtomobiller/47975253", "Linke kec")</f>
        <v>Linke kec</v>
      </c>
    </row>
    <row r="561" spans="1:3" x14ac:dyDescent="0.3">
      <c r="A561" t="s">
        <v>485</v>
      </c>
      <c r="B561" t="s">
        <v>486</v>
      </c>
      <c r="C561" t="str">
        <f>HYPERLINK("https://tap.az/elanlar/neqliyyat/avtomobiller/42013617", "Linke kec")</f>
        <v>Linke kec</v>
      </c>
    </row>
    <row r="562" spans="1:3" x14ac:dyDescent="0.3">
      <c r="A562" t="s">
        <v>487</v>
      </c>
      <c r="B562" t="s">
        <v>192</v>
      </c>
      <c r="C562" t="str">
        <f>HYPERLINK("https://tap.az/elanlar/neqliyyat/avtomobiller/48485704", "Linke kec")</f>
        <v>Linke kec</v>
      </c>
    </row>
    <row r="563" spans="1:3" x14ac:dyDescent="0.3">
      <c r="A563" t="s">
        <v>136</v>
      </c>
      <c r="B563" t="s">
        <v>137</v>
      </c>
      <c r="C563" t="str">
        <f>HYPERLINK("https://tap.az/elanlar/neqliyyat/avtomobiller/48126189", "Linke kec")</f>
        <v>Linke kec</v>
      </c>
    </row>
    <row r="564" spans="1:3" x14ac:dyDescent="0.3">
      <c r="A564" t="s">
        <v>398</v>
      </c>
      <c r="B564" t="s">
        <v>373</v>
      </c>
      <c r="C564" t="str">
        <f>HYPERLINK("https://tap.az/elanlar/neqliyyat/avtomobiller/48485272", "Linke kec")</f>
        <v>Linke kec</v>
      </c>
    </row>
    <row r="565" spans="1:3" x14ac:dyDescent="0.3">
      <c r="A565" t="s">
        <v>94</v>
      </c>
      <c r="B565" t="s">
        <v>14</v>
      </c>
      <c r="C565" t="str">
        <f>HYPERLINK("https://tap.az/elanlar/neqliyyat/avtomobiller/48484980", "Linke kec")</f>
        <v>Linke kec</v>
      </c>
    </row>
    <row r="566" spans="1:3" x14ac:dyDescent="0.3">
      <c r="A566" t="s">
        <v>11</v>
      </c>
      <c r="B566" t="s">
        <v>241</v>
      </c>
      <c r="C566" t="str">
        <f>HYPERLINK("https://tap.az/elanlar/neqliyyat/avtomobiller/48484531", "Linke kec")</f>
        <v>Linke kec</v>
      </c>
    </row>
    <row r="567" spans="1:3" x14ac:dyDescent="0.3">
      <c r="A567" t="s">
        <v>311</v>
      </c>
      <c r="B567" t="s">
        <v>267</v>
      </c>
      <c r="C567" t="str">
        <f>HYPERLINK("https://tap.az/elanlar/neqliyyat/avtomobiller/48482760", "Linke kec")</f>
        <v>Linke kec</v>
      </c>
    </row>
    <row r="568" spans="1:3" x14ac:dyDescent="0.3">
      <c r="A568" t="s">
        <v>53</v>
      </c>
      <c r="B568" t="s">
        <v>415</v>
      </c>
      <c r="C568" t="str">
        <f>HYPERLINK("https://tap.az/elanlar/neqliyyat/avtomobiller/48482646", "Linke kec")</f>
        <v>Linke kec</v>
      </c>
    </row>
    <row r="569" spans="1:3" x14ac:dyDescent="0.3">
      <c r="A569" t="s">
        <v>67</v>
      </c>
      <c r="B569" t="s">
        <v>433</v>
      </c>
      <c r="C569" t="str">
        <f>HYPERLINK("https://tap.az/elanlar/neqliyyat/avtomobiller/47930789", "Linke kec")</f>
        <v>Linke kec</v>
      </c>
    </row>
    <row r="570" spans="1:3" x14ac:dyDescent="0.3">
      <c r="A570" t="s">
        <v>319</v>
      </c>
      <c r="B570" t="s">
        <v>233</v>
      </c>
      <c r="C570" t="str">
        <f>HYPERLINK("https://tap.az/elanlar/neqliyyat/avtomobiller/48482028", "Linke kec")</f>
        <v>Linke kec</v>
      </c>
    </row>
    <row r="571" spans="1:3" x14ac:dyDescent="0.3">
      <c r="A571" t="s">
        <v>291</v>
      </c>
      <c r="B571" t="s">
        <v>272</v>
      </c>
      <c r="C571" t="str">
        <f>HYPERLINK("https://tap.az/elanlar/neqliyyat/avtomobiller/48481776", "Linke kec")</f>
        <v>Linke kec</v>
      </c>
    </row>
    <row r="572" spans="1:3" x14ac:dyDescent="0.3">
      <c r="A572" t="s">
        <v>488</v>
      </c>
      <c r="B572" t="s">
        <v>4</v>
      </c>
      <c r="C572" t="str">
        <f>HYPERLINK("https://tap.az/elanlar/neqliyyat/avtomobiller/48481446", "Linke kec")</f>
        <v>Linke kec</v>
      </c>
    </row>
    <row r="573" spans="1:3" x14ac:dyDescent="0.3">
      <c r="A573" t="s">
        <v>240</v>
      </c>
      <c r="B573" t="s">
        <v>137</v>
      </c>
      <c r="C573" t="str">
        <f>HYPERLINK("https://tap.az/elanlar/neqliyyat/avtomobiller/47969306", "Linke kec")</f>
        <v>Linke kec</v>
      </c>
    </row>
    <row r="574" spans="1:3" x14ac:dyDescent="0.3">
      <c r="A574" t="s">
        <v>17</v>
      </c>
      <c r="B574" t="s">
        <v>489</v>
      </c>
      <c r="C574" t="str">
        <f>HYPERLINK("https://tap.az/elanlar/neqliyyat/avtomobiller/48480171", "Linke kec")</f>
        <v>Linke kec</v>
      </c>
    </row>
    <row r="575" spans="1:3" x14ac:dyDescent="0.3">
      <c r="A575" t="s">
        <v>490</v>
      </c>
      <c r="B575" t="s">
        <v>267</v>
      </c>
      <c r="C575" t="str">
        <f>HYPERLINK("https://tap.az/elanlar/neqliyyat/avtomobiller/48479534", "Linke kec")</f>
        <v>Linke kec</v>
      </c>
    </row>
    <row r="576" spans="1:3" x14ac:dyDescent="0.3">
      <c r="A576" t="s">
        <v>376</v>
      </c>
      <c r="B576" t="s">
        <v>68</v>
      </c>
      <c r="C576" t="str">
        <f>HYPERLINK("https://tap.az/elanlar/neqliyyat/avtomobiller/48479119", "Linke kec")</f>
        <v>Linke kec</v>
      </c>
    </row>
    <row r="577" spans="1:3" x14ac:dyDescent="0.3">
      <c r="A577" t="s">
        <v>251</v>
      </c>
      <c r="B577" t="s">
        <v>431</v>
      </c>
      <c r="C577" t="str">
        <f>HYPERLINK("https://tap.az/elanlar/neqliyyat/avtomobiller/48479013", "Linke kec")</f>
        <v>Linke kec</v>
      </c>
    </row>
    <row r="578" spans="1:3" x14ac:dyDescent="0.3">
      <c r="A578" t="s">
        <v>491</v>
      </c>
      <c r="B578" t="s">
        <v>66</v>
      </c>
      <c r="C578" t="str">
        <f>HYPERLINK("https://tap.az/elanlar/neqliyyat/avtomobiller/48478778", "Linke kec")</f>
        <v>Linke kec</v>
      </c>
    </row>
    <row r="579" spans="1:3" x14ac:dyDescent="0.3">
      <c r="A579" t="s">
        <v>368</v>
      </c>
      <c r="B579" t="s">
        <v>492</v>
      </c>
      <c r="C579" t="str">
        <f>HYPERLINK("https://tap.az/elanlar/neqliyyat/avtomobiller/48477970", "Linke kec")</f>
        <v>Linke kec</v>
      </c>
    </row>
    <row r="580" spans="1:3" x14ac:dyDescent="0.3">
      <c r="A580" t="s">
        <v>251</v>
      </c>
      <c r="B580" t="s">
        <v>185</v>
      </c>
      <c r="C580" t="str">
        <f>HYPERLINK("https://tap.az/elanlar/neqliyyat/avtomobiller/48477929", "Linke kec")</f>
        <v>Linke kec</v>
      </c>
    </row>
    <row r="581" spans="1:3" x14ac:dyDescent="0.3">
      <c r="A581" t="s">
        <v>493</v>
      </c>
      <c r="B581" t="s">
        <v>494</v>
      </c>
      <c r="C581" t="str">
        <f>HYPERLINK("https://tap.az/elanlar/neqliyyat/avtomobiller/46712298", "Linke kec")</f>
        <v>Linke kec</v>
      </c>
    </row>
    <row r="582" spans="1:3" x14ac:dyDescent="0.3">
      <c r="A582" t="s">
        <v>240</v>
      </c>
      <c r="B582" t="s">
        <v>187</v>
      </c>
      <c r="C582" t="str">
        <f>HYPERLINK("https://tap.az/elanlar/neqliyyat/avtomobiller/48477619", "Linke kec")</f>
        <v>Linke kec</v>
      </c>
    </row>
    <row r="583" spans="1:3" x14ac:dyDescent="0.3">
      <c r="A583" t="s">
        <v>495</v>
      </c>
      <c r="B583" t="s">
        <v>10</v>
      </c>
      <c r="C583" t="str">
        <f>HYPERLINK("https://tap.az/elanlar/neqliyyat/avtomobiller/48477463", "Linke kec")</f>
        <v>Linke kec</v>
      </c>
    </row>
    <row r="584" spans="1:3" x14ac:dyDescent="0.3">
      <c r="A584" t="s">
        <v>200</v>
      </c>
      <c r="B584" t="s">
        <v>122</v>
      </c>
      <c r="C584" t="str">
        <f>HYPERLINK("https://tap.az/elanlar/neqliyyat/avtomobiller/48476601", "Linke kec")</f>
        <v>Linke kec</v>
      </c>
    </row>
    <row r="585" spans="1:3" x14ac:dyDescent="0.3">
      <c r="A585" t="s">
        <v>282</v>
      </c>
      <c r="B585" t="s">
        <v>361</v>
      </c>
      <c r="C585" t="str">
        <f>HYPERLINK("https://tap.az/elanlar/neqliyyat/avtomobiller/46006333", "Linke kec")</f>
        <v>Linke kec</v>
      </c>
    </row>
    <row r="586" spans="1:3" x14ac:dyDescent="0.3">
      <c r="A586" t="s">
        <v>496</v>
      </c>
      <c r="B586" t="s">
        <v>83</v>
      </c>
      <c r="C586" t="str">
        <f>HYPERLINK("https://tap.az/elanlar/neqliyyat/avtomobiller/48221144", "Linke kec")</f>
        <v>Linke kec</v>
      </c>
    </row>
    <row r="587" spans="1:3" x14ac:dyDescent="0.3">
      <c r="A587" t="s">
        <v>348</v>
      </c>
      <c r="B587" t="s">
        <v>58</v>
      </c>
      <c r="C587" t="str">
        <f>HYPERLINK("https://tap.az/elanlar/neqliyyat/avtomobiller/48475338", "Linke kec")</f>
        <v>Linke kec</v>
      </c>
    </row>
    <row r="588" spans="1:3" x14ac:dyDescent="0.3">
      <c r="A588" t="s">
        <v>497</v>
      </c>
      <c r="B588" t="s">
        <v>86</v>
      </c>
      <c r="C588" t="str">
        <f>HYPERLINK("https://tap.az/elanlar/neqliyyat/avtomobiller/48475319", "Linke kec")</f>
        <v>Linke kec</v>
      </c>
    </row>
    <row r="589" spans="1:3" x14ac:dyDescent="0.3">
      <c r="A589" t="s">
        <v>498</v>
      </c>
      <c r="B589" t="s">
        <v>400</v>
      </c>
      <c r="C589" t="str">
        <f>HYPERLINK("https://tap.az/elanlar/neqliyyat/avtomobiller/48475077", "Linke kec")</f>
        <v>Linke kec</v>
      </c>
    </row>
    <row r="590" spans="1:3" x14ac:dyDescent="0.3">
      <c r="A590" t="s">
        <v>29</v>
      </c>
      <c r="B590" t="s">
        <v>420</v>
      </c>
      <c r="C590" t="str">
        <f>HYPERLINK("https://tap.az/elanlar/neqliyyat/avtomobiller/48474632", "Linke kec")</f>
        <v>Linke kec</v>
      </c>
    </row>
    <row r="591" spans="1:3" x14ac:dyDescent="0.3">
      <c r="A591" t="s">
        <v>499</v>
      </c>
      <c r="B591" t="s">
        <v>46</v>
      </c>
      <c r="C591" t="str">
        <f>HYPERLINK("https://tap.az/elanlar/neqliyyat/avtomobiller/48473987", "Linke kec")</f>
        <v>Linke kec</v>
      </c>
    </row>
    <row r="592" spans="1:3" x14ac:dyDescent="0.3">
      <c r="A592" t="s">
        <v>500</v>
      </c>
      <c r="B592" t="s">
        <v>46</v>
      </c>
      <c r="C592" t="str">
        <f>HYPERLINK("https://tap.az/elanlar/neqliyyat/avtomobiller/48473962", "Linke kec")</f>
        <v>Linke kec</v>
      </c>
    </row>
    <row r="593" spans="1:3" x14ac:dyDescent="0.3">
      <c r="A593" t="s">
        <v>9</v>
      </c>
      <c r="B593" t="s">
        <v>124</v>
      </c>
      <c r="C593" t="str">
        <f>HYPERLINK("https://tap.az/elanlar/neqliyyat/avtomobiller/48473931", "Linke kec")</f>
        <v>Linke kec</v>
      </c>
    </row>
    <row r="594" spans="1:3" x14ac:dyDescent="0.3">
      <c r="A594" t="s">
        <v>147</v>
      </c>
      <c r="B594" t="s">
        <v>72</v>
      </c>
      <c r="C594" t="str">
        <f>HYPERLINK("https://tap.az/elanlar/neqliyyat/avtomobiller/48473808", "Linke kec")</f>
        <v>Linke kec</v>
      </c>
    </row>
    <row r="595" spans="1:3" x14ac:dyDescent="0.3">
      <c r="A595" t="s">
        <v>200</v>
      </c>
      <c r="B595" t="s">
        <v>116</v>
      </c>
      <c r="C595" t="str">
        <f>HYPERLINK("https://tap.az/elanlar/neqliyyat/avtomobiller/48473667", "Linke kec")</f>
        <v>Linke kec</v>
      </c>
    </row>
    <row r="596" spans="1:3" x14ac:dyDescent="0.3">
      <c r="A596" t="s">
        <v>501</v>
      </c>
      <c r="B596" t="s">
        <v>361</v>
      </c>
      <c r="C596" t="str">
        <f>HYPERLINK("https://tap.az/elanlar/neqliyyat/avtomobiller/48473510", "Linke kec")</f>
        <v>Linke kec</v>
      </c>
    </row>
    <row r="597" spans="1:3" x14ac:dyDescent="0.3">
      <c r="A597" t="s">
        <v>502</v>
      </c>
      <c r="B597" t="s">
        <v>503</v>
      </c>
      <c r="C597" t="str">
        <f>HYPERLINK("https://tap.az/elanlar/neqliyyat/avtomobiller/48473077", "Linke kec")</f>
        <v>Linke kec</v>
      </c>
    </row>
    <row r="598" spans="1:3" x14ac:dyDescent="0.3">
      <c r="A598" t="s">
        <v>368</v>
      </c>
      <c r="B598" t="s">
        <v>504</v>
      </c>
      <c r="C598" t="str">
        <f>HYPERLINK("https://tap.az/elanlar/neqliyyat/avtomobiller/43702125", "Linke kec")</f>
        <v>Linke kec</v>
      </c>
    </row>
    <row r="599" spans="1:3" x14ac:dyDescent="0.3">
      <c r="A599" t="s">
        <v>7</v>
      </c>
      <c r="B599" t="s">
        <v>505</v>
      </c>
      <c r="C599" t="str">
        <f>HYPERLINK("https://tap.az/elanlar/neqliyyat/avtomobiller/48472228", "Linke kec")</f>
        <v>Linke kec</v>
      </c>
    </row>
    <row r="600" spans="1:3" x14ac:dyDescent="0.3">
      <c r="A600" t="s">
        <v>252</v>
      </c>
      <c r="B600" t="s">
        <v>237</v>
      </c>
      <c r="C600" t="str">
        <f>HYPERLINK("https://tap.az/elanlar/neqliyyat/avtomobiller/45945290", "Linke kec")</f>
        <v>Linke kec</v>
      </c>
    </row>
    <row r="601" spans="1:3" x14ac:dyDescent="0.3">
      <c r="A601" t="s">
        <v>31</v>
      </c>
      <c r="B601" t="s">
        <v>415</v>
      </c>
      <c r="C601" t="str">
        <f>HYPERLINK("https://tap.az/elanlar/neqliyyat/avtomobiller/45023142", "Linke kec")</f>
        <v>Linke kec</v>
      </c>
    </row>
    <row r="602" spans="1:3" x14ac:dyDescent="0.3">
      <c r="A602" t="s">
        <v>506</v>
      </c>
      <c r="B602" t="s">
        <v>259</v>
      </c>
      <c r="C602" t="str">
        <f>HYPERLINK("https://tap.az/elanlar/neqliyyat/avtomobiller/48469560", "Linke kec")</f>
        <v>Linke kec</v>
      </c>
    </row>
    <row r="603" spans="1:3" x14ac:dyDescent="0.3">
      <c r="A603" t="s">
        <v>200</v>
      </c>
      <c r="B603" t="s">
        <v>259</v>
      </c>
      <c r="C603" t="str">
        <f>HYPERLINK("https://tap.az/elanlar/neqliyyat/avtomobiller/48434619", "Linke kec")</f>
        <v>Linke kec</v>
      </c>
    </row>
    <row r="604" spans="1:3" x14ac:dyDescent="0.3">
      <c r="A604" t="s">
        <v>78</v>
      </c>
      <c r="B604" t="s">
        <v>459</v>
      </c>
      <c r="C604" t="str">
        <f>HYPERLINK("https://tap.az/elanlar/neqliyyat/avtomobiller/48470491", "Linke kec")</f>
        <v>Linke kec</v>
      </c>
    </row>
    <row r="605" spans="1:3" x14ac:dyDescent="0.3">
      <c r="A605" t="s">
        <v>223</v>
      </c>
      <c r="B605" t="s">
        <v>244</v>
      </c>
      <c r="C605" t="str">
        <f>HYPERLINK("https://tap.az/elanlar/neqliyyat/avtomobiller/48470404", "Linke kec")</f>
        <v>Linke kec</v>
      </c>
    </row>
    <row r="606" spans="1:3" x14ac:dyDescent="0.3">
      <c r="A606" t="s">
        <v>507</v>
      </c>
      <c r="B606" t="s">
        <v>508</v>
      </c>
      <c r="C606" t="str">
        <f>HYPERLINK("https://tap.az/elanlar/neqliyyat/avtomobiller/48470196", "Linke kec")</f>
        <v>Linke kec</v>
      </c>
    </row>
    <row r="607" spans="1:3" x14ac:dyDescent="0.3">
      <c r="A607" t="s">
        <v>73</v>
      </c>
      <c r="B607" t="s">
        <v>509</v>
      </c>
      <c r="C607" t="str">
        <f>HYPERLINK("https://tap.az/elanlar/neqliyyat/avtomobiller/48469964", "Linke kec")</f>
        <v>Linke kec</v>
      </c>
    </row>
    <row r="608" spans="1:3" x14ac:dyDescent="0.3">
      <c r="A608" t="s">
        <v>95</v>
      </c>
      <c r="B608" t="s">
        <v>79</v>
      </c>
      <c r="C608" t="str">
        <f>HYPERLINK("https://tap.az/elanlar/neqliyyat/avtomobiller/48469602", "Linke kec")</f>
        <v>Linke kec</v>
      </c>
    </row>
    <row r="609" spans="1:3" x14ac:dyDescent="0.3">
      <c r="A609" t="s">
        <v>161</v>
      </c>
      <c r="B609" t="s">
        <v>108</v>
      </c>
      <c r="C609" t="str">
        <f>HYPERLINK("https://tap.az/elanlar/neqliyyat/avtomobiller/48469143", "Linke kec")</f>
        <v>Linke kec</v>
      </c>
    </row>
    <row r="610" spans="1:3" x14ac:dyDescent="0.3">
      <c r="A610" t="s">
        <v>67</v>
      </c>
      <c r="B610" t="s">
        <v>24</v>
      </c>
      <c r="C610" t="str">
        <f>HYPERLINK("https://tap.az/elanlar/neqliyyat/avtomobiller/48468742", "Linke kec")</f>
        <v>Linke kec</v>
      </c>
    </row>
    <row r="611" spans="1:3" x14ac:dyDescent="0.3">
      <c r="A611" t="s">
        <v>9</v>
      </c>
      <c r="B611" t="s">
        <v>122</v>
      </c>
      <c r="C611" t="str">
        <f>HYPERLINK("https://tap.az/elanlar/neqliyyat/avtomobiller/48212642", "Linke kec")</f>
        <v>Linke kec</v>
      </c>
    </row>
    <row r="612" spans="1:3" x14ac:dyDescent="0.3">
      <c r="A612" t="s">
        <v>235</v>
      </c>
      <c r="B612" t="s">
        <v>207</v>
      </c>
      <c r="C612" t="str">
        <f>HYPERLINK("https://tap.az/elanlar/neqliyyat/avtomobiller/48467622", "Linke kec")</f>
        <v>Linke kec</v>
      </c>
    </row>
    <row r="613" spans="1:3" x14ac:dyDescent="0.3">
      <c r="A613" t="s">
        <v>510</v>
      </c>
      <c r="B613" t="s">
        <v>511</v>
      </c>
      <c r="C613" t="str">
        <f>HYPERLINK("https://tap.az/elanlar/neqliyyat/avtomobiller/48467288", "Linke kec")</f>
        <v>Linke kec</v>
      </c>
    </row>
    <row r="614" spans="1:3" x14ac:dyDescent="0.3">
      <c r="A614" t="s">
        <v>179</v>
      </c>
      <c r="B614" t="s">
        <v>512</v>
      </c>
      <c r="C614" t="str">
        <f>HYPERLINK("https://tap.az/elanlar/neqliyyat/avtomobiller/48467201", "Linke kec")</f>
        <v>Linke kec</v>
      </c>
    </row>
    <row r="615" spans="1:3" x14ac:dyDescent="0.3">
      <c r="A615" t="s">
        <v>330</v>
      </c>
      <c r="B615" t="s">
        <v>513</v>
      </c>
      <c r="C615" t="str">
        <f>HYPERLINK("https://tap.az/elanlar/neqliyyat/avtomobiller/48467206", "Linke kec")</f>
        <v>Linke kec</v>
      </c>
    </row>
    <row r="616" spans="1:3" x14ac:dyDescent="0.3">
      <c r="A616" t="s">
        <v>514</v>
      </c>
      <c r="B616" t="s">
        <v>338</v>
      </c>
      <c r="C616" t="str">
        <f>HYPERLINK("https://tap.az/elanlar/neqliyyat/avtomobiller/48467048", "Linke kec")</f>
        <v>Linke kec</v>
      </c>
    </row>
    <row r="617" spans="1:3" x14ac:dyDescent="0.3">
      <c r="A617" t="s">
        <v>515</v>
      </c>
      <c r="B617" t="s">
        <v>70</v>
      </c>
      <c r="C617" t="str">
        <f>HYPERLINK("https://tap.az/elanlar/neqliyyat/avtomobiller/48467020", "Linke kec")</f>
        <v>Linke kec</v>
      </c>
    </row>
    <row r="618" spans="1:3" x14ac:dyDescent="0.3">
      <c r="A618" t="s">
        <v>201</v>
      </c>
      <c r="B618" t="s">
        <v>197</v>
      </c>
      <c r="C618" t="str">
        <f>HYPERLINK("https://tap.az/elanlar/neqliyyat/avtomobiller/48466799", "Linke kec")</f>
        <v>Linke kec</v>
      </c>
    </row>
    <row r="619" spans="1:3" x14ac:dyDescent="0.3">
      <c r="A619" t="s">
        <v>223</v>
      </c>
      <c r="B619" t="s">
        <v>259</v>
      </c>
      <c r="C619" t="str">
        <f>HYPERLINK("https://tap.az/elanlar/neqliyyat/avtomobiller/48466199", "Linke kec")</f>
        <v>Linke kec</v>
      </c>
    </row>
    <row r="620" spans="1:3" x14ac:dyDescent="0.3">
      <c r="A620" t="s">
        <v>516</v>
      </c>
      <c r="B620" t="s">
        <v>116</v>
      </c>
      <c r="C620" t="str">
        <f>HYPERLINK("https://tap.az/elanlar/neqliyyat/avtomobiller/48465980", "Linke kec")</f>
        <v>Linke kec</v>
      </c>
    </row>
    <row r="621" spans="1:3" x14ac:dyDescent="0.3">
      <c r="A621" t="s">
        <v>67</v>
      </c>
      <c r="B621" t="s">
        <v>68</v>
      </c>
      <c r="C621" t="str">
        <f>HYPERLINK("https://tap.az/elanlar/neqliyyat/avtomobiller/48465883", "Linke kec")</f>
        <v>Linke kec</v>
      </c>
    </row>
    <row r="622" spans="1:3" x14ac:dyDescent="0.3">
      <c r="A622" t="s">
        <v>366</v>
      </c>
      <c r="B622" t="s">
        <v>258</v>
      </c>
      <c r="C622" t="str">
        <f>HYPERLINK("https://tap.az/elanlar/neqliyyat/avtomobiller/48461103", "Linke kec")</f>
        <v>Linke kec</v>
      </c>
    </row>
    <row r="623" spans="1:3" x14ac:dyDescent="0.3">
      <c r="A623" t="s">
        <v>11</v>
      </c>
      <c r="B623" t="s">
        <v>202</v>
      </c>
      <c r="C623" t="str">
        <f>HYPERLINK("https://tap.az/elanlar/neqliyyat/avtomobiller/48465625", "Linke kec")</f>
        <v>Linke kec</v>
      </c>
    </row>
    <row r="624" spans="1:3" x14ac:dyDescent="0.3">
      <c r="A624" t="s">
        <v>335</v>
      </c>
      <c r="B624" t="s">
        <v>18</v>
      </c>
      <c r="C624" t="str">
        <f>HYPERLINK("https://tap.az/elanlar/neqliyyat/avtomobiller/48465399", "Linke kec")</f>
        <v>Linke kec</v>
      </c>
    </row>
    <row r="625" spans="1:3" x14ac:dyDescent="0.3">
      <c r="A625" t="s">
        <v>517</v>
      </c>
      <c r="B625" t="s">
        <v>143</v>
      </c>
      <c r="C625" t="str">
        <f>HYPERLINK("https://tap.az/elanlar/neqliyyat/avtomobiller/48465356", "Linke kec")</f>
        <v>Linke kec</v>
      </c>
    </row>
    <row r="626" spans="1:3" x14ac:dyDescent="0.3">
      <c r="A626" t="s">
        <v>518</v>
      </c>
      <c r="B626" t="s">
        <v>304</v>
      </c>
      <c r="C626" t="str">
        <f>HYPERLINK("https://tap.az/elanlar/neqliyyat/avtomobiller/48451742", "Linke kec")</f>
        <v>Linke kec</v>
      </c>
    </row>
    <row r="627" spans="1:3" x14ac:dyDescent="0.3">
      <c r="A627" t="s">
        <v>519</v>
      </c>
      <c r="B627" t="s">
        <v>520</v>
      </c>
      <c r="C627" t="str">
        <f>HYPERLINK("https://tap.az/elanlar/neqliyyat/avtomobiller/48465130", "Linke kec")</f>
        <v>Linke kec</v>
      </c>
    </row>
    <row r="628" spans="1:3" x14ac:dyDescent="0.3">
      <c r="A628" t="s">
        <v>521</v>
      </c>
      <c r="B628" t="s">
        <v>116</v>
      </c>
      <c r="C628" t="str">
        <f>HYPERLINK("https://tap.az/elanlar/neqliyyat/avtomobiller/48464527", "Linke kec")</f>
        <v>Linke kec</v>
      </c>
    </row>
    <row r="629" spans="1:3" x14ac:dyDescent="0.3">
      <c r="A629" t="s">
        <v>138</v>
      </c>
      <c r="B629" t="s">
        <v>151</v>
      </c>
      <c r="C629" t="str">
        <f>HYPERLINK("https://tap.az/elanlar/neqliyyat/avtomobiller/48464306", "Linke kec")</f>
        <v>Linke kec</v>
      </c>
    </row>
    <row r="630" spans="1:3" x14ac:dyDescent="0.3">
      <c r="A630" t="s">
        <v>344</v>
      </c>
      <c r="B630" t="s">
        <v>8</v>
      </c>
      <c r="C630" t="str">
        <f>HYPERLINK("https://tap.az/elanlar/neqliyyat/avtomobiller/48464230", "Linke kec")</f>
        <v>Linke kec</v>
      </c>
    </row>
    <row r="631" spans="1:3" x14ac:dyDescent="0.3">
      <c r="A631" t="s">
        <v>522</v>
      </c>
      <c r="B631" t="s">
        <v>145</v>
      </c>
      <c r="C631" t="str">
        <f>HYPERLINK("https://tap.az/elanlar/neqliyyat/avtomobiller/48463982", "Linke kec")</f>
        <v>Linke kec</v>
      </c>
    </row>
    <row r="632" spans="1:3" x14ac:dyDescent="0.3">
      <c r="A632" t="s">
        <v>523</v>
      </c>
      <c r="B632" t="s">
        <v>208</v>
      </c>
      <c r="C632" t="str">
        <f>HYPERLINK("https://tap.az/elanlar/neqliyyat/avtomobiller/47889907", "Linke kec")</f>
        <v>Linke kec</v>
      </c>
    </row>
    <row r="633" spans="1:3" x14ac:dyDescent="0.3">
      <c r="A633" t="s">
        <v>37</v>
      </c>
      <c r="B633" t="s">
        <v>229</v>
      </c>
      <c r="C633" t="str">
        <f>HYPERLINK("https://tap.az/elanlar/neqliyyat/avtomobiller/48457442", "Linke kec")</f>
        <v>Linke kec</v>
      </c>
    </row>
    <row r="634" spans="1:3" x14ac:dyDescent="0.3">
      <c r="A634" t="s">
        <v>155</v>
      </c>
      <c r="B634" t="s">
        <v>8</v>
      </c>
      <c r="C634" t="str">
        <f>HYPERLINK("https://tap.az/elanlar/neqliyyat/avtomobiller/48463131", "Linke kec")</f>
        <v>Linke kec</v>
      </c>
    </row>
    <row r="635" spans="1:3" x14ac:dyDescent="0.3">
      <c r="A635" t="s">
        <v>519</v>
      </c>
      <c r="B635" t="s">
        <v>437</v>
      </c>
      <c r="C635" t="str">
        <f>HYPERLINK("https://tap.az/elanlar/neqliyyat/avtomobiller/48462330", "Linke kec")</f>
        <v>Linke kec</v>
      </c>
    </row>
    <row r="636" spans="1:3" x14ac:dyDescent="0.3">
      <c r="A636" t="s">
        <v>7</v>
      </c>
      <c r="B636" t="s">
        <v>112</v>
      </c>
      <c r="C636" t="str">
        <f>HYPERLINK("https://tap.az/elanlar/neqliyyat/avtomobiller/48461901", "Linke kec")</f>
        <v>Linke kec</v>
      </c>
    </row>
    <row r="637" spans="1:3" x14ac:dyDescent="0.3">
      <c r="A637" t="s">
        <v>155</v>
      </c>
      <c r="B637" t="s">
        <v>14</v>
      </c>
      <c r="C637" t="str">
        <f>HYPERLINK("https://tap.az/elanlar/neqliyyat/avtomobiller/48462125", "Linke kec")</f>
        <v>Linke kec</v>
      </c>
    </row>
    <row r="638" spans="1:3" x14ac:dyDescent="0.3">
      <c r="A638" t="s">
        <v>73</v>
      </c>
      <c r="B638" t="s">
        <v>524</v>
      </c>
      <c r="C638" t="str">
        <f>HYPERLINK("https://tap.az/elanlar/neqliyyat/avtomobiller/48461921", "Linke kec")</f>
        <v>Linke kec</v>
      </c>
    </row>
    <row r="639" spans="1:3" x14ac:dyDescent="0.3">
      <c r="A639" t="s">
        <v>525</v>
      </c>
      <c r="B639" t="s">
        <v>526</v>
      </c>
      <c r="C639" t="str">
        <f>HYPERLINK("https://tap.az/elanlar/neqliyyat/avtomobiller/47820188", "Linke kec")</f>
        <v>Linke kec</v>
      </c>
    </row>
    <row r="640" spans="1:3" x14ac:dyDescent="0.3">
      <c r="A640" t="s">
        <v>67</v>
      </c>
      <c r="B640" t="s">
        <v>58</v>
      </c>
      <c r="C640" t="str">
        <f>HYPERLINK("https://tap.az/elanlar/neqliyyat/avtomobiller/48461521", "Linke kec")</f>
        <v>Linke kec</v>
      </c>
    </row>
    <row r="641" spans="1:3" x14ac:dyDescent="0.3">
      <c r="A641" t="s">
        <v>451</v>
      </c>
      <c r="B641" t="s">
        <v>432</v>
      </c>
      <c r="C641" t="str">
        <f>HYPERLINK("https://tap.az/elanlar/neqliyyat/avtomobiller/48461331", "Linke kec")</f>
        <v>Linke kec</v>
      </c>
    </row>
    <row r="642" spans="1:3" x14ac:dyDescent="0.3">
      <c r="A642" t="s">
        <v>240</v>
      </c>
      <c r="B642" t="s">
        <v>166</v>
      </c>
      <c r="C642" t="str">
        <f>HYPERLINK("https://tap.az/elanlar/neqliyyat/avtomobiller/48444758", "Linke kec")</f>
        <v>Linke kec</v>
      </c>
    </row>
    <row r="643" spans="1:3" x14ac:dyDescent="0.3">
      <c r="A643" t="s">
        <v>527</v>
      </c>
      <c r="B643" t="s">
        <v>114</v>
      </c>
      <c r="C643" t="str">
        <f>HYPERLINK("https://tap.az/elanlar/neqliyyat/avtomobiller/48460529", "Linke kec")</f>
        <v>Linke kec</v>
      </c>
    </row>
    <row r="644" spans="1:3" x14ac:dyDescent="0.3">
      <c r="A644" t="s">
        <v>67</v>
      </c>
      <c r="B644" t="s">
        <v>70</v>
      </c>
      <c r="C644" t="str">
        <f>HYPERLINK("https://tap.az/elanlar/neqliyyat/avtomobiller/48460472", "Linke kec")</f>
        <v>Linke kec</v>
      </c>
    </row>
    <row r="645" spans="1:3" x14ac:dyDescent="0.3">
      <c r="A645" t="s">
        <v>528</v>
      </c>
      <c r="B645" t="s">
        <v>529</v>
      </c>
      <c r="C645" t="str">
        <f>HYPERLINK("https://tap.az/elanlar/neqliyyat/avtomobiller/48460480", "Linke kec")</f>
        <v>Linke kec</v>
      </c>
    </row>
    <row r="646" spans="1:3" x14ac:dyDescent="0.3">
      <c r="A646" t="s">
        <v>530</v>
      </c>
      <c r="B646" t="s">
        <v>256</v>
      </c>
      <c r="C646" t="str">
        <f>HYPERLINK("https://tap.az/elanlar/neqliyyat/avtomobiller/48460377", "Linke kec")</f>
        <v>Linke kec</v>
      </c>
    </row>
    <row r="647" spans="1:3" x14ac:dyDescent="0.3">
      <c r="A647" t="s">
        <v>173</v>
      </c>
      <c r="B647" t="s">
        <v>284</v>
      </c>
      <c r="C647" t="str">
        <f>HYPERLINK("https://tap.az/elanlar/neqliyyat/avtomobiller/48460312", "Linke kec")</f>
        <v>Linke kec</v>
      </c>
    </row>
    <row r="648" spans="1:3" x14ac:dyDescent="0.3">
      <c r="A648" t="s">
        <v>17</v>
      </c>
      <c r="B648" t="s">
        <v>318</v>
      </c>
      <c r="C648" t="str">
        <f>HYPERLINK("https://tap.az/elanlar/neqliyyat/avtomobiller/48460239", "Linke kec")</f>
        <v>Linke kec</v>
      </c>
    </row>
    <row r="649" spans="1:3" x14ac:dyDescent="0.3">
      <c r="A649" t="s">
        <v>3</v>
      </c>
      <c r="B649" t="s">
        <v>198</v>
      </c>
      <c r="C649" t="str">
        <f>HYPERLINK("https://tap.az/elanlar/neqliyyat/avtomobiller/48460214", "Linke kec")</f>
        <v>Linke kec</v>
      </c>
    </row>
    <row r="650" spans="1:3" x14ac:dyDescent="0.3">
      <c r="A650" t="s">
        <v>37</v>
      </c>
      <c r="B650" t="s">
        <v>58</v>
      </c>
      <c r="C650" t="str">
        <f>HYPERLINK("https://tap.az/elanlar/neqliyyat/avtomobiller/47427823", "Linke kec")</f>
        <v>Linke kec</v>
      </c>
    </row>
    <row r="651" spans="1:3" x14ac:dyDescent="0.3">
      <c r="A651" t="s">
        <v>37</v>
      </c>
      <c r="B651" t="s">
        <v>151</v>
      </c>
      <c r="C651" t="str">
        <f>HYPERLINK("https://tap.az/elanlar/neqliyyat/avtomobiller/48459767", "Linke kec")</f>
        <v>Linke kec</v>
      </c>
    </row>
    <row r="652" spans="1:3" x14ac:dyDescent="0.3">
      <c r="A652" t="s">
        <v>184</v>
      </c>
      <c r="B652" t="s">
        <v>166</v>
      </c>
      <c r="C652" t="str">
        <f>HYPERLINK("https://tap.az/elanlar/neqliyyat/avtomobiller/48128369", "Linke kec")</f>
        <v>Linke kec</v>
      </c>
    </row>
    <row r="653" spans="1:3" x14ac:dyDescent="0.3">
      <c r="A653" t="s">
        <v>531</v>
      </c>
      <c r="B653" t="s">
        <v>532</v>
      </c>
      <c r="C653" t="str">
        <f>HYPERLINK("https://tap.az/elanlar/neqliyyat/avtomobiller/48150270", "Linke kec")</f>
        <v>Linke kec</v>
      </c>
    </row>
    <row r="654" spans="1:3" x14ac:dyDescent="0.3">
      <c r="A654" t="s">
        <v>533</v>
      </c>
      <c r="B654" t="s">
        <v>58</v>
      </c>
      <c r="C654" t="str">
        <f>HYPERLINK("https://tap.az/elanlar/neqliyyat/avtomobiller/48452753", "Linke kec")</f>
        <v>Linke kec</v>
      </c>
    </row>
    <row r="655" spans="1:3" x14ac:dyDescent="0.3">
      <c r="A655" t="s">
        <v>292</v>
      </c>
      <c r="B655" t="s">
        <v>93</v>
      </c>
      <c r="C655" t="str">
        <f>HYPERLINK("https://tap.az/elanlar/neqliyyat/avtomobiller/45187500", "Linke kec")</f>
        <v>Linke kec</v>
      </c>
    </row>
    <row r="656" spans="1:3" x14ac:dyDescent="0.3">
      <c r="A656" t="s">
        <v>91</v>
      </c>
      <c r="B656" t="s">
        <v>52</v>
      </c>
      <c r="C656" t="str">
        <f>HYPERLINK("https://tap.az/elanlar/neqliyyat/avtomobiller/48457817", "Linke kec")</f>
        <v>Linke kec</v>
      </c>
    </row>
    <row r="657" spans="1:3" x14ac:dyDescent="0.3">
      <c r="A657" t="s">
        <v>514</v>
      </c>
      <c r="B657" t="s">
        <v>105</v>
      </c>
      <c r="C657" t="str">
        <f>HYPERLINK("https://tap.az/elanlar/neqliyyat/avtomobiller/44900523", "Linke kec")</f>
        <v>Linke kec</v>
      </c>
    </row>
    <row r="658" spans="1:3" x14ac:dyDescent="0.3">
      <c r="A658" t="s">
        <v>449</v>
      </c>
      <c r="B658" t="s">
        <v>187</v>
      </c>
      <c r="C658" t="str">
        <f>HYPERLINK("https://tap.az/elanlar/neqliyyat/avtomobiller/48457195", "Linke kec")</f>
        <v>Linke kec</v>
      </c>
    </row>
    <row r="659" spans="1:3" x14ac:dyDescent="0.3">
      <c r="A659" t="s">
        <v>123</v>
      </c>
      <c r="B659" t="s">
        <v>534</v>
      </c>
      <c r="C659" t="str">
        <f>HYPERLINK("https://tap.az/elanlar/neqliyyat/avtomobiller/48455855", "Linke kec")</f>
        <v>Linke kec</v>
      </c>
    </row>
    <row r="660" spans="1:3" x14ac:dyDescent="0.3">
      <c r="A660" t="s">
        <v>223</v>
      </c>
      <c r="B660" t="s">
        <v>4</v>
      </c>
      <c r="C660" t="str">
        <f>HYPERLINK("https://tap.az/elanlar/neqliyyat/avtomobiller/48455643", "Linke kec")</f>
        <v>Linke kec</v>
      </c>
    </row>
    <row r="661" spans="1:3" x14ac:dyDescent="0.3">
      <c r="A661" t="s">
        <v>535</v>
      </c>
      <c r="B661" t="s">
        <v>536</v>
      </c>
      <c r="C661" t="str">
        <f>HYPERLINK("https://tap.az/elanlar/neqliyyat/avtomobiller/48179222", "Linke kec")</f>
        <v>Linke kec</v>
      </c>
    </row>
    <row r="662" spans="1:3" x14ac:dyDescent="0.3">
      <c r="A662" t="s">
        <v>126</v>
      </c>
      <c r="B662" t="s">
        <v>537</v>
      </c>
      <c r="C662" t="str">
        <f>HYPERLINK("https://tap.az/elanlar/neqliyyat/avtomobiller/48454947", "Linke kec")</f>
        <v>Linke kec</v>
      </c>
    </row>
    <row r="663" spans="1:3" x14ac:dyDescent="0.3">
      <c r="A663" t="s">
        <v>9</v>
      </c>
      <c r="B663" t="s">
        <v>99</v>
      </c>
      <c r="C663" t="str">
        <f>HYPERLINK("https://tap.az/elanlar/neqliyyat/avtomobiller/48454598", "Linke kec")</f>
        <v>Linke kec</v>
      </c>
    </row>
    <row r="664" spans="1:3" x14ac:dyDescent="0.3">
      <c r="A664" t="s">
        <v>538</v>
      </c>
      <c r="B664" t="s">
        <v>70</v>
      </c>
      <c r="C664" t="str">
        <f>HYPERLINK("https://tap.az/elanlar/neqliyyat/avtomobiller/46595769", "Linke kec")</f>
        <v>Linke kec</v>
      </c>
    </row>
    <row r="665" spans="1:3" x14ac:dyDescent="0.3">
      <c r="A665" t="s">
        <v>53</v>
      </c>
      <c r="B665" t="s">
        <v>539</v>
      </c>
      <c r="C665" t="str">
        <f>HYPERLINK("https://tap.az/elanlar/neqliyyat/avtomobiller/47332933", "Linke kec")</f>
        <v>Linke kec</v>
      </c>
    </row>
    <row r="666" spans="1:3" x14ac:dyDescent="0.3">
      <c r="A666" t="s">
        <v>132</v>
      </c>
      <c r="B666" t="s">
        <v>329</v>
      </c>
      <c r="C666" t="str">
        <f>HYPERLINK("https://tap.az/elanlar/neqliyyat/avtomobiller/46214572", "Linke kec")</f>
        <v>Linke kec</v>
      </c>
    </row>
    <row r="667" spans="1:3" x14ac:dyDescent="0.3">
      <c r="A667" t="s">
        <v>540</v>
      </c>
      <c r="B667" t="s">
        <v>459</v>
      </c>
      <c r="C667" t="str">
        <f>HYPERLINK("https://tap.az/elanlar/neqliyyat/avtomobiller/47379978", "Linke kec")</f>
        <v>Linke kec</v>
      </c>
    </row>
    <row r="668" spans="1:3" x14ac:dyDescent="0.3">
      <c r="A668" t="s">
        <v>128</v>
      </c>
      <c r="B668" t="s">
        <v>10</v>
      </c>
      <c r="C668" t="str">
        <f>HYPERLINK("https://tap.az/elanlar/neqliyyat/avtomobiller/48453149", "Linke kec")</f>
        <v>Linke kec</v>
      </c>
    </row>
    <row r="669" spans="1:3" x14ac:dyDescent="0.3">
      <c r="A669" t="s">
        <v>92</v>
      </c>
      <c r="B669" t="s">
        <v>207</v>
      </c>
      <c r="C669" t="str">
        <f>HYPERLINK("https://tap.az/elanlar/neqliyyat/avtomobiller/48453099", "Linke kec")</f>
        <v>Linke kec</v>
      </c>
    </row>
    <row r="670" spans="1:3" x14ac:dyDescent="0.3">
      <c r="A670" t="s">
        <v>37</v>
      </c>
      <c r="B670" t="s">
        <v>103</v>
      </c>
      <c r="C670" t="str">
        <f>HYPERLINK("https://tap.az/elanlar/neqliyyat/avtomobiller/48453089", "Linke kec")</f>
        <v>Linke kec</v>
      </c>
    </row>
    <row r="671" spans="1:3" x14ac:dyDescent="0.3">
      <c r="A671" t="s">
        <v>325</v>
      </c>
      <c r="B671" t="s">
        <v>261</v>
      </c>
      <c r="C671" t="str">
        <f>HYPERLINK("https://tap.az/elanlar/neqliyyat/avtomobiller/48453085", "Linke kec")</f>
        <v>Linke kec</v>
      </c>
    </row>
    <row r="672" spans="1:3" x14ac:dyDescent="0.3">
      <c r="A672" t="s">
        <v>84</v>
      </c>
      <c r="B672" t="s">
        <v>70</v>
      </c>
      <c r="C672" t="str">
        <f>HYPERLINK("https://tap.az/elanlar/neqliyyat/avtomobiller/48453070", "Linke kec")</f>
        <v>Linke kec</v>
      </c>
    </row>
    <row r="673" spans="1:3" x14ac:dyDescent="0.3">
      <c r="A673" t="s">
        <v>378</v>
      </c>
      <c r="B673" t="s">
        <v>40</v>
      </c>
      <c r="C673" t="str">
        <f>HYPERLINK("https://tap.az/elanlar/neqliyyat/avtomobiller/46704607", "Linke kec")</f>
        <v>Linke kec</v>
      </c>
    </row>
    <row r="674" spans="1:3" x14ac:dyDescent="0.3">
      <c r="A674" t="s">
        <v>17</v>
      </c>
      <c r="B674" t="s">
        <v>247</v>
      </c>
      <c r="C674" t="str">
        <f>HYPERLINK("https://tap.az/elanlar/neqliyyat/avtomobiller/48452306", "Linke kec")</f>
        <v>Linke kec</v>
      </c>
    </row>
    <row r="675" spans="1:3" x14ac:dyDescent="0.3">
      <c r="A675" t="s">
        <v>67</v>
      </c>
      <c r="B675" t="s">
        <v>377</v>
      </c>
      <c r="C675" t="str">
        <f>HYPERLINK("https://tap.az/elanlar/neqliyyat/avtomobiller/48452125", "Linke kec")</f>
        <v>Linke kec</v>
      </c>
    </row>
    <row r="676" spans="1:3" x14ac:dyDescent="0.3">
      <c r="A676" t="s">
        <v>78</v>
      </c>
      <c r="B676" t="s">
        <v>99</v>
      </c>
      <c r="C676" t="str">
        <f>HYPERLINK("https://tap.az/elanlar/neqliyyat/avtomobiller/48451918", "Linke kec")</f>
        <v>Linke kec</v>
      </c>
    </row>
    <row r="677" spans="1:3" x14ac:dyDescent="0.3">
      <c r="A677" t="s">
        <v>470</v>
      </c>
      <c r="B677" t="s">
        <v>415</v>
      </c>
      <c r="C677" t="str">
        <f>HYPERLINK("https://tap.az/elanlar/neqliyyat/avtomobiller/45837234", "Linke kec")</f>
        <v>Linke kec</v>
      </c>
    </row>
    <row r="678" spans="1:3" x14ac:dyDescent="0.3">
      <c r="A678" t="s">
        <v>78</v>
      </c>
      <c r="B678" t="s">
        <v>526</v>
      </c>
      <c r="C678" t="str">
        <f>HYPERLINK("https://tap.az/elanlar/neqliyyat/avtomobiller/48450645", "Linke kec")</f>
        <v>Linke kec</v>
      </c>
    </row>
    <row r="679" spans="1:3" x14ac:dyDescent="0.3">
      <c r="A679" t="s">
        <v>541</v>
      </c>
      <c r="B679" t="s">
        <v>38</v>
      </c>
      <c r="C679" t="str">
        <f>HYPERLINK("https://tap.az/elanlar/neqliyyat/avtomobiller/48450573", "Linke kec")</f>
        <v>Linke kec</v>
      </c>
    </row>
    <row r="680" spans="1:3" x14ac:dyDescent="0.3">
      <c r="A680" t="s">
        <v>157</v>
      </c>
      <c r="B680" t="s">
        <v>139</v>
      </c>
      <c r="C680" t="str">
        <f>HYPERLINK("https://tap.az/elanlar/neqliyyat/avtomobiller/48449288", "Linke kec")</f>
        <v>Linke kec</v>
      </c>
    </row>
    <row r="681" spans="1:3" x14ac:dyDescent="0.3">
      <c r="A681" t="s">
        <v>173</v>
      </c>
      <c r="B681" t="s">
        <v>542</v>
      </c>
      <c r="C681" t="str">
        <f>HYPERLINK("https://tap.az/elanlar/neqliyyat/avtomobiller/46986620", "Linke kec")</f>
        <v>Linke kec</v>
      </c>
    </row>
    <row r="682" spans="1:3" x14ac:dyDescent="0.3">
      <c r="A682" t="s">
        <v>543</v>
      </c>
      <c r="B682" t="s">
        <v>544</v>
      </c>
      <c r="C682" t="str">
        <f>HYPERLINK("https://tap.az/elanlar/neqliyyat/avtomobiller/48448130", "Linke kec")</f>
        <v>Linke kec</v>
      </c>
    </row>
    <row r="683" spans="1:3" x14ac:dyDescent="0.3">
      <c r="A683" t="s">
        <v>59</v>
      </c>
      <c r="B683" t="s">
        <v>20</v>
      </c>
      <c r="C683" t="str">
        <f>HYPERLINK("https://tap.az/elanlar/neqliyyat/avtomobiller/48447862", "Linke kec")</f>
        <v>Linke kec</v>
      </c>
    </row>
    <row r="684" spans="1:3" x14ac:dyDescent="0.3">
      <c r="A684" t="s">
        <v>308</v>
      </c>
      <c r="B684" t="s">
        <v>336</v>
      </c>
      <c r="C684" t="str">
        <f>HYPERLINK("https://tap.az/elanlar/neqliyyat/avtomobiller/48447678", "Linke kec")</f>
        <v>Linke kec</v>
      </c>
    </row>
    <row r="685" spans="1:3" x14ac:dyDescent="0.3">
      <c r="A685" t="s">
        <v>190</v>
      </c>
      <c r="B685" t="s">
        <v>99</v>
      </c>
      <c r="C685" t="str">
        <f>HYPERLINK("https://tap.az/elanlar/neqliyyat/avtomobiller/48447600", "Linke kec")</f>
        <v>Linke kec</v>
      </c>
    </row>
    <row r="686" spans="1:3" x14ac:dyDescent="0.3">
      <c r="A686" t="s">
        <v>136</v>
      </c>
      <c r="B686" t="s">
        <v>314</v>
      </c>
      <c r="C686" t="str">
        <f>HYPERLINK("https://tap.az/elanlar/neqliyyat/avtomobiller/48447346", "Linke kec")</f>
        <v>Linke kec</v>
      </c>
    </row>
    <row r="687" spans="1:3" x14ac:dyDescent="0.3">
      <c r="A687" t="s">
        <v>37</v>
      </c>
      <c r="B687" t="s">
        <v>281</v>
      </c>
      <c r="C687" t="str">
        <f>HYPERLINK("https://tap.az/elanlar/neqliyyat/avtomobiller/48447113", "Linke kec")</f>
        <v>Linke kec</v>
      </c>
    </row>
    <row r="688" spans="1:3" x14ac:dyDescent="0.3">
      <c r="A688" t="s">
        <v>344</v>
      </c>
      <c r="B688" t="s">
        <v>137</v>
      </c>
      <c r="C688" t="str">
        <f>HYPERLINK("https://tap.az/elanlar/neqliyyat/avtomobiller/48447057", "Linke kec")</f>
        <v>Linke kec</v>
      </c>
    </row>
    <row r="689" spans="1:3" x14ac:dyDescent="0.3">
      <c r="A689" t="s">
        <v>232</v>
      </c>
      <c r="B689" t="s">
        <v>277</v>
      </c>
      <c r="C689" t="str">
        <f>HYPERLINK("https://tap.az/elanlar/neqliyyat/avtomobiller/48446658", "Linke kec")</f>
        <v>Linke kec</v>
      </c>
    </row>
    <row r="690" spans="1:3" x14ac:dyDescent="0.3">
      <c r="A690" t="s">
        <v>545</v>
      </c>
      <c r="B690" t="s">
        <v>195</v>
      </c>
      <c r="C690" t="str">
        <f>HYPERLINK("https://tap.az/elanlar/neqliyyat/avtomobiller/48446673", "Linke kec")</f>
        <v>Linke kec</v>
      </c>
    </row>
    <row r="691" spans="1:3" x14ac:dyDescent="0.3">
      <c r="A691" t="s">
        <v>240</v>
      </c>
      <c r="B691" t="s">
        <v>24</v>
      </c>
      <c r="C691" t="str">
        <f>HYPERLINK("https://tap.az/elanlar/neqliyyat/avtomobiller/48446430", "Linke kec")</f>
        <v>Linke kec</v>
      </c>
    </row>
    <row r="692" spans="1:3" x14ac:dyDescent="0.3">
      <c r="A692" t="s">
        <v>348</v>
      </c>
      <c r="B692" t="s">
        <v>546</v>
      </c>
      <c r="C692" t="str">
        <f>HYPERLINK("https://tap.az/elanlar/neqliyyat/avtomobiller/48446287", "Linke kec")</f>
        <v>Linke kec</v>
      </c>
    </row>
    <row r="693" spans="1:3" x14ac:dyDescent="0.3">
      <c r="A693" t="s">
        <v>19</v>
      </c>
      <c r="B693" t="s">
        <v>116</v>
      </c>
      <c r="C693" t="str">
        <f>HYPERLINK("https://tap.az/elanlar/neqliyyat/avtomobiller/48446044", "Linke kec")</f>
        <v>Linke kec</v>
      </c>
    </row>
    <row r="694" spans="1:3" x14ac:dyDescent="0.3">
      <c r="A694" t="s">
        <v>501</v>
      </c>
      <c r="B694" t="s">
        <v>547</v>
      </c>
      <c r="C694" t="str">
        <f>HYPERLINK("https://tap.az/elanlar/neqliyyat/avtomobiller/48444907", "Linke kec")</f>
        <v>Linke kec</v>
      </c>
    </row>
    <row r="695" spans="1:3" x14ac:dyDescent="0.3">
      <c r="A695" t="s">
        <v>548</v>
      </c>
      <c r="B695" t="s">
        <v>202</v>
      </c>
      <c r="C695" t="str">
        <f>HYPERLINK("https://tap.az/elanlar/neqliyyat/avtomobiller/44439535", "Linke kec")</f>
        <v>Linke kec</v>
      </c>
    </row>
    <row r="696" spans="1:3" x14ac:dyDescent="0.3">
      <c r="A696" t="s">
        <v>200</v>
      </c>
      <c r="B696" t="s">
        <v>112</v>
      </c>
      <c r="C696" t="str">
        <f>HYPERLINK("https://tap.az/elanlar/neqliyyat/avtomobiller/48444117", "Linke kec")</f>
        <v>Linke kec</v>
      </c>
    </row>
    <row r="697" spans="1:3" x14ac:dyDescent="0.3">
      <c r="A697" t="s">
        <v>549</v>
      </c>
      <c r="B697" t="s">
        <v>229</v>
      </c>
      <c r="C697" t="str">
        <f>HYPERLINK("https://tap.az/elanlar/neqliyyat/avtomobiller/48443740", "Linke kec")</f>
        <v>Linke kec</v>
      </c>
    </row>
    <row r="698" spans="1:3" x14ac:dyDescent="0.3">
      <c r="A698" t="s">
        <v>94</v>
      </c>
      <c r="B698" t="s">
        <v>52</v>
      </c>
      <c r="C698" t="str">
        <f>HYPERLINK("https://tap.az/elanlar/neqliyyat/avtomobiller/48443674", "Linke kec")</f>
        <v>Linke kec</v>
      </c>
    </row>
    <row r="699" spans="1:3" x14ac:dyDescent="0.3">
      <c r="A699" t="s">
        <v>11</v>
      </c>
      <c r="B699" t="s">
        <v>101</v>
      </c>
      <c r="C699" t="str">
        <f>HYPERLINK("https://tap.az/elanlar/neqliyyat/avtomobiller/48443671", "Linke kec")</f>
        <v>Linke kec</v>
      </c>
    </row>
    <row r="700" spans="1:3" x14ac:dyDescent="0.3">
      <c r="A700" t="s">
        <v>550</v>
      </c>
      <c r="B700" t="s">
        <v>54</v>
      </c>
      <c r="C700" t="str">
        <f>HYPERLINK("https://tap.az/elanlar/neqliyyat/avtomobiller/48156571", "Linke kec")</f>
        <v>Linke kec</v>
      </c>
    </row>
    <row r="701" spans="1:3" x14ac:dyDescent="0.3">
      <c r="A701" t="s">
        <v>55</v>
      </c>
      <c r="B701" t="s">
        <v>551</v>
      </c>
      <c r="C701" t="str">
        <f>HYPERLINK("https://tap.az/elanlar/neqliyyat/avtomobiller/48442735", "Linke kec")</f>
        <v>Linke kec</v>
      </c>
    </row>
    <row r="702" spans="1:3" x14ac:dyDescent="0.3">
      <c r="A702" t="s">
        <v>552</v>
      </c>
      <c r="B702" t="s">
        <v>542</v>
      </c>
      <c r="C702" t="str">
        <f>HYPERLINK("https://tap.az/elanlar/neqliyyat/avtomobiller/48442538", "Linke kec")</f>
        <v>Linke kec</v>
      </c>
    </row>
    <row r="703" spans="1:3" x14ac:dyDescent="0.3">
      <c r="A703" t="s">
        <v>549</v>
      </c>
      <c r="B703" t="s">
        <v>229</v>
      </c>
      <c r="C703" t="str">
        <f>HYPERLINK("https://tap.az/elanlar/neqliyyat/avtomobiller/48442108", "Linke kec")</f>
        <v>Linke kec</v>
      </c>
    </row>
    <row r="704" spans="1:3" x14ac:dyDescent="0.3">
      <c r="A704" t="s">
        <v>109</v>
      </c>
      <c r="B704" t="s">
        <v>14</v>
      </c>
      <c r="C704" t="str">
        <f>HYPERLINK("https://tap.az/elanlar/neqliyyat/avtomobiller/48442019", "Linke kec")</f>
        <v>Linke kec</v>
      </c>
    </row>
    <row r="705" spans="1:3" x14ac:dyDescent="0.3">
      <c r="A705" t="s">
        <v>519</v>
      </c>
      <c r="B705" t="s">
        <v>553</v>
      </c>
      <c r="C705" t="str">
        <f>HYPERLINK("https://tap.az/elanlar/neqliyyat/avtomobiller/47761053", "Linke kec")</f>
        <v>Linke kec</v>
      </c>
    </row>
    <row r="706" spans="1:3" x14ac:dyDescent="0.3">
      <c r="A706" t="s">
        <v>554</v>
      </c>
      <c r="B706" t="s">
        <v>258</v>
      </c>
      <c r="C706" t="str">
        <f>HYPERLINK("https://tap.az/elanlar/neqliyyat/avtomobiller/48441059", "Linke kec")</f>
        <v>Linke kec</v>
      </c>
    </row>
    <row r="707" spans="1:3" x14ac:dyDescent="0.3">
      <c r="A707" t="s">
        <v>555</v>
      </c>
      <c r="B707" t="s">
        <v>258</v>
      </c>
      <c r="C707" t="str">
        <f>HYPERLINK("https://tap.az/elanlar/neqliyyat/avtomobiller/48439760", "Linke kec")</f>
        <v>Linke kec</v>
      </c>
    </row>
    <row r="708" spans="1:3" x14ac:dyDescent="0.3">
      <c r="A708" t="s">
        <v>556</v>
      </c>
      <c r="B708" t="s">
        <v>14</v>
      </c>
      <c r="C708" t="str">
        <f>HYPERLINK("https://tap.az/elanlar/neqliyyat/avtomobiller/48439757", "Linke kec")</f>
        <v>Linke kec</v>
      </c>
    </row>
    <row r="709" spans="1:3" x14ac:dyDescent="0.3">
      <c r="A709" t="s">
        <v>399</v>
      </c>
      <c r="B709" t="s">
        <v>557</v>
      </c>
      <c r="C709" t="str">
        <f>HYPERLINK("https://tap.az/elanlar/neqliyyat/avtomobiller/48439368", "Linke kec")</f>
        <v>Linke kec</v>
      </c>
    </row>
    <row r="710" spans="1:3" x14ac:dyDescent="0.3">
      <c r="A710" t="s">
        <v>558</v>
      </c>
      <c r="B710" t="s">
        <v>42</v>
      </c>
      <c r="C710" t="str">
        <f>HYPERLINK("https://tap.az/elanlar/neqliyyat/avtomobiller/47000434", "Linke kec")</f>
        <v>Linke kec</v>
      </c>
    </row>
    <row r="711" spans="1:3" x14ac:dyDescent="0.3">
      <c r="A711" t="s">
        <v>344</v>
      </c>
      <c r="B711" t="s">
        <v>559</v>
      </c>
      <c r="C711" t="str">
        <f>HYPERLINK("https://tap.az/elanlar/neqliyyat/avtomobiller/48438656", "Linke kec")</f>
        <v>Linke kec</v>
      </c>
    </row>
    <row r="712" spans="1:3" x14ac:dyDescent="0.3">
      <c r="A712" t="s">
        <v>560</v>
      </c>
      <c r="B712" t="s">
        <v>561</v>
      </c>
      <c r="C712" t="str">
        <f>HYPERLINK("https://tap.az/elanlar/neqliyyat/avtomobiller/47808901", "Linke kec")</f>
        <v>Linke kec</v>
      </c>
    </row>
    <row r="713" spans="1:3" x14ac:dyDescent="0.3">
      <c r="A713" t="s">
        <v>562</v>
      </c>
      <c r="B713" t="s">
        <v>563</v>
      </c>
      <c r="C713" t="str">
        <f>HYPERLINK("https://tap.az/elanlar/neqliyyat/avtomobiller/46879291", "Linke kec")</f>
        <v>Linke kec</v>
      </c>
    </row>
    <row r="714" spans="1:3" x14ac:dyDescent="0.3">
      <c r="A714" t="s">
        <v>209</v>
      </c>
      <c r="B714" t="s">
        <v>8</v>
      </c>
      <c r="C714" t="str">
        <f>HYPERLINK("https://tap.az/elanlar/neqliyyat/avtomobiller/48437957", "Linke kec")</f>
        <v>Linke kec</v>
      </c>
    </row>
    <row r="715" spans="1:3" x14ac:dyDescent="0.3">
      <c r="A715" t="s">
        <v>31</v>
      </c>
      <c r="B715" t="s">
        <v>56</v>
      </c>
      <c r="C715" t="str">
        <f>HYPERLINK("https://tap.az/elanlar/neqliyyat/avtomobiller/47873585", "Linke kec")</f>
        <v>Linke kec</v>
      </c>
    </row>
    <row r="716" spans="1:3" x14ac:dyDescent="0.3">
      <c r="A716" t="s">
        <v>564</v>
      </c>
      <c r="B716" t="s">
        <v>227</v>
      </c>
      <c r="C716" t="str">
        <f>HYPERLINK("https://tap.az/elanlar/neqliyyat/avtomobiller/48437067", "Linke kec")</f>
        <v>Linke kec</v>
      </c>
    </row>
    <row r="717" spans="1:3" x14ac:dyDescent="0.3">
      <c r="A717" t="s">
        <v>565</v>
      </c>
      <c r="B717" t="s">
        <v>566</v>
      </c>
      <c r="C717" t="str">
        <f>HYPERLINK("https://tap.az/elanlar/neqliyyat/avtomobiller/48181128", "Linke kec")</f>
        <v>Linke kec</v>
      </c>
    </row>
    <row r="718" spans="1:3" x14ac:dyDescent="0.3">
      <c r="A718" t="s">
        <v>468</v>
      </c>
      <c r="B718" t="s">
        <v>567</v>
      </c>
      <c r="C718" t="str">
        <f>HYPERLINK("https://tap.az/elanlar/neqliyyat/avtomobiller/48436779", "Linke kec")</f>
        <v>Linke kec</v>
      </c>
    </row>
    <row r="719" spans="1:3" x14ac:dyDescent="0.3">
      <c r="A719" t="s">
        <v>63</v>
      </c>
      <c r="B719" t="s">
        <v>207</v>
      </c>
      <c r="C719" t="str">
        <f>HYPERLINK("https://tap.az/elanlar/neqliyyat/avtomobiller/48436714", "Linke kec")</f>
        <v>Linke kec</v>
      </c>
    </row>
    <row r="720" spans="1:3" x14ac:dyDescent="0.3">
      <c r="A720" t="s">
        <v>245</v>
      </c>
      <c r="B720" t="s">
        <v>314</v>
      </c>
      <c r="C720" t="str">
        <f>HYPERLINK("https://tap.az/elanlar/neqliyyat/avtomobiller/48436152", "Linke kec")</f>
        <v>Linke kec</v>
      </c>
    </row>
    <row r="721" spans="1:3" x14ac:dyDescent="0.3">
      <c r="A721" t="s">
        <v>568</v>
      </c>
      <c r="B721" t="s">
        <v>479</v>
      </c>
      <c r="C721" t="str">
        <f>HYPERLINK("https://tap.az/elanlar/neqliyyat/avtomobiller/48350101", "Linke kec")</f>
        <v>Linke kec</v>
      </c>
    </row>
    <row r="722" spans="1:3" x14ac:dyDescent="0.3">
      <c r="A722" t="s">
        <v>146</v>
      </c>
      <c r="B722" t="s">
        <v>8</v>
      </c>
      <c r="C722" t="str">
        <f>HYPERLINK("https://tap.az/elanlar/neqliyyat/avtomobiller/48434205", "Linke kec")</f>
        <v>Linke kec</v>
      </c>
    </row>
    <row r="723" spans="1:3" x14ac:dyDescent="0.3">
      <c r="A723" t="s">
        <v>240</v>
      </c>
      <c r="B723" t="s">
        <v>70</v>
      </c>
      <c r="C723" t="str">
        <f>HYPERLINK("https://tap.az/elanlar/neqliyyat/avtomobiller/48171364", "Linke kec")</f>
        <v>Linke kec</v>
      </c>
    </row>
    <row r="724" spans="1:3" x14ac:dyDescent="0.3">
      <c r="A724" t="s">
        <v>569</v>
      </c>
      <c r="B724" t="s">
        <v>239</v>
      </c>
      <c r="C724" t="str">
        <f>HYPERLINK("https://tap.az/elanlar/neqliyyat/avtomobiller/48435335", "Linke kec")</f>
        <v>Linke kec</v>
      </c>
    </row>
    <row r="725" spans="1:3" x14ac:dyDescent="0.3">
      <c r="A725" t="s">
        <v>570</v>
      </c>
      <c r="B725" t="s">
        <v>4</v>
      </c>
      <c r="C725" t="str">
        <f>HYPERLINK("https://tap.az/elanlar/neqliyyat/avtomobiller/48435052", "Linke kec")</f>
        <v>Linke kec</v>
      </c>
    </row>
    <row r="726" spans="1:3" x14ac:dyDescent="0.3">
      <c r="A726" t="s">
        <v>571</v>
      </c>
      <c r="B726" t="s">
        <v>20</v>
      </c>
      <c r="C726" t="str">
        <f>HYPERLINK("https://tap.az/elanlar/neqliyyat/avtomobiller/48428327", "Linke kec")</f>
        <v>Linke kec</v>
      </c>
    </row>
    <row r="727" spans="1:3" x14ac:dyDescent="0.3">
      <c r="A727" t="s">
        <v>311</v>
      </c>
      <c r="B727" t="s">
        <v>112</v>
      </c>
      <c r="C727" t="str">
        <f>HYPERLINK("https://tap.az/elanlar/neqliyyat/avtomobiller/48433509", "Linke kec")</f>
        <v>Linke kec</v>
      </c>
    </row>
    <row r="728" spans="1:3" x14ac:dyDescent="0.3">
      <c r="A728" t="s">
        <v>311</v>
      </c>
      <c r="B728" t="s">
        <v>210</v>
      </c>
      <c r="C728" t="str">
        <f>HYPERLINK("https://tap.az/elanlar/neqliyyat/avtomobiller/48433170", "Linke kec")</f>
        <v>Linke kec</v>
      </c>
    </row>
    <row r="729" spans="1:3" x14ac:dyDescent="0.3">
      <c r="A729" t="s">
        <v>163</v>
      </c>
      <c r="B729" t="s">
        <v>210</v>
      </c>
      <c r="C729" t="str">
        <f>HYPERLINK("https://tap.az/elanlar/neqliyyat/avtomobiller/42746811", "Linke kec")</f>
        <v>Linke kec</v>
      </c>
    </row>
    <row r="730" spans="1:3" x14ac:dyDescent="0.3">
      <c r="A730" t="s">
        <v>67</v>
      </c>
      <c r="B730" t="s">
        <v>229</v>
      </c>
      <c r="C730" t="str">
        <f>HYPERLINK("https://tap.az/elanlar/neqliyyat/avtomobiller/48432912", "Linke kec")</f>
        <v>Linke kec</v>
      </c>
    </row>
    <row r="731" spans="1:3" x14ac:dyDescent="0.3">
      <c r="A731" t="s">
        <v>572</v>
      </c>
      <c r="B731" t="s">
        <v>573</v>
      </c>
      <c r="C731" t="str">
        <f>HYPERLINK("https://tap.az/elanlar/neqliyyat/avtomobiller/48432349", "Linke kec")</f>
        <v>Linke kec</v>
      </c>
    </row>
    <row r="732" spans="1:3" x14ac:dyDescent="0.3">
      <c r="A732" t="s">
        <v>11</v>
      </c>
      <c r="B732" t="s">
        <v>195</v>
      </c>
      <c r="C732" t="str">
        <f>HYPERLINK("https://tap.az/elanlar/neqliyyat/avtomobiller/48432285", "Linke kec")</f>
        <v>Linke kec</v>
      </c>
    </row>
    <row r="733" spans="1:3" x14ac:dyDescent="0.3">
      <c r="A733" t="s">
        <v>37</v>
      </c>
      <c r="B733" t="s">
        <v>88</v>
      </c>
      <c r="C733" t="str">
        <f>HYPERLINK("https://tap.az/elanlar/neqliyyat/avtomobiller/48432260", "Linke kec")</f>
        <v>Linke kec</v>
      </c>
    </row>
    <row r="734" spans="1:3" x14ac:dyDescent="0.3">
      <c r="A734" t="s">
        <v>240</v>
      </c>
      <c r="B734" t="s">
        <v>158</v>
      </c>
      <c r="C734" t="str">
        <f>HYPERLINK("https://tap.az/elanlar/neqliyyat/avtomobiller/48431160", "Linke kec")</f>
        <v>Linke kec</v>
      </c>
    </row>
    <row r="735" spans="1:3" x14ac:dyDescent="0.3">
      <c r="A735" t="s">
        <v>481</v>
      </c>
      <c r="B735" t="s">
        <v>574</v>
      </c>
      <c r="C735" t="str">
        <f>HYPERLINK("https://tap.az/elanlar/neqliyyat/avtomobiller/48430959", "Linke kec")</f>
        <v>Linke kec</v>
      </c>
    </row>
    <row r="736" spans="1:3" x14ac:dyDescent="0.3">
      <c r="A736" t="s">
        <v>575</v>
      </c>
      <c r="B736" t="s">
        <v>576</v>
      </c>
      <c r="C736" t="str">
        <f>HYPERLINK("https://tap.az/elanlar/neqliyyat/avtomobiller/46132373", "Linke kec")</f>
        <v>Linke kec</v>
      </c>
    </row>
    <row r="737" spans="1:3" x14ac:dyDescent="0.3">
      <c r="A737" t="s">
        <v>146</v>
      </c>
      <c r="B737" t="s">
        <v>4</v>
      </c>
      <c r="C737" t="str">
        <f>HYPERLINK("https://tap.az/elanlar/neqliyyat/avtomobiller/48429738", "Linke kec")</f>
        <v>Linke kec</v>
      </c>
    </row>
    <row r="738" spans="1:3" x14ac:dyDescent="0.3">
      <c r="A738" t="s">
        <v>104</v>
      </c>
      <c r="B738" t="s">
        <v>86</v>
      </c>
      <c r="C738" t="str">
        <f>HYPERLINK("https://tap.az/elanlar/neqliyyat/avtomobiller/48429707", "Linke kec")</f>
        <v>Linke kec</v>
      </c>
    </row>
    <row r="739" spans="1:3" x14ac:dyDescent="0.3">
      <c r="A739" t="s">
        <v>172</v>
      </c>
      <c r="B739" t="s">
        <v>164</v>
      </c>
      <c r="C739" t="str">
        <f>HYPERLINK("https://tap.az/elanlar/neqliyyat/avtomobiller/47869403", "Linke kec")</f>
        <v>Linke kec</v>
      </c>
    </row>
    <row r="740" spans="1:3" x14ac:dyDescent="0.3">
      <c r="A740" t="s">
        <v>571</v>
      </c>
      <c r="B740" t="s">
        <v>62</v>
      </c>
      <c r="C740" t="str">
        <f>HYPERLINK("https://tap.az/elanlar/neqliyyat/avtomobiller/48429289", "Linke kec")</f>
        <v>Linke kec</v>
      </c>
    </row>
    <row r="741" spans="1:3" x14ac:dyDescent="0.3">
      <c r="A741" t="s">
        <v>577</v>
      </c>
      <c r="B741" t="s">
        <v>101</v>
      </c>
      <c r="C741" t="str">
        <f>HYPERLINK("https://tap.az/elanlar/neqliyyat/avtomobiller/48428996", "Linke kec")</f>
        <v>Linke kec</v>
      </c>
    </row>
    <row r="742" spans="1:3" x14ac:dyDescent="0.3">
      <c r="A742" t="s">
        <v>43</v>
      </c>
      <c r="B742" t="s">
        <v>24</v>
      </c>
      <c r="C742" t="str">
        <f>HYPERLINK("https://tap.az/elanlar/neqliyyat/avtomobiller/48406396", "Linke kec")</f>
        <v>Linke kec</v>
      </c>
    </row>
    <row r="743" spans="1:3" x14ac:dyDescent="0.3">
      <c r="A743" t="s">
        <v>311</v>
      </c>
      <c r="B743" t="s">
        <v>578</v>
      </c>
      <c r="C743" t="str">
        <f>HYPERLINK("https://tap.az/elanlar/neqliyyat/avtomobiller/48428427", "Linke kec")</f>
        <v>Linke kec</v>
      </c>
    </row>
    <row r="744" spans="1:3" x14ac:dyDescent="0.3">
      <c r="A744" t="s">
        <v>579</v>
      </c>
      <c r="B744" t="s">
        <v>580</v>
      </c>
      <c r="C744" t="str">
        <f>HYPERLINK("https://tap.az/elanlar/neqliyyat/avtomobiller/46055880", "Linke kec")</f>
        <v>Linke kec</v>
      </c>
    </row>
    <row r="745" spans="1:3" x14ac:dyDescent="0.3">
      <c r="A745" t="s">
        <v>581</v>
      </c>
      <c r="B745" t="s">
        <v>88</v>
      </c>
      <c r="C745" t="str">
        <f>HYPERLINK("https://tap.az/elanlar/neqliyyat/avtomobiller/48428385", "Linke kec")</f>
        <v>Linke kec</v>
      </c>
    </row>
    <row r="746" spans="1:3" x14ac:dyDescent="0.3">
      <c r="A746" t="s">
        <v>43</v>
      </c>
      <c r="B746" t="s">
        <v>377</v>
      </c>
      <c r="C746" t="str">
        <f>HYPERLINK("https://tap.az/elanlar/neqliyyat/avtomobiller/46984154", "Linke kec")</f>
        <v>Linke kec</v>
      </c>
    </row>
    <row r="747" spans="1:3" x14ac:dyDescent="0.3">
      <c r="A747" t="s">
        <v>582</v>
      </c>
      <c r="B747" t="s">
        <v>143</v>
      </c>
      <c r="C747" t="str">
        <f>HYPERLINK("https://tap.az/elanlar/neqliyyat/avtomobiller/48427965", "Linke kec")</f>
        <v>Linke kec</v>
      </c>
    </row>
    <row r="748" spans="1:3" x14ac:dyDescent="0.3">
      <c r="A748" t="s">
        <v>165</v>
      </c>
      <c r="B748" t="s">
        <v>127</v>
      </c>
      <c r="C748" t="str">
        <f>HYPERLINK("https://tap.az/elanlar/neqliyyat/avtomobiller/48427828", "Linke kec")</f>
        <v>Linke kec</v>
      </c>
    </row>
    <row r="749" spans="1:3" x14ac:dyDescent="0.3">
      <c r="A749" t="s">
        <v>276</v>
      </c>
      <c r="B749" t="s">
        <v>267</v>
      </c>
      <c r="C749" t="str">
        <f>HYPERLINK("https://tap.az/elanlar/neqliyyat/avtomobiller/48427241", "Linke kec")</f>
        <v>Linke kec</v>
      </c>
    </row>
    <row r="750" spans="1:3" x14ac:dyDescent="0.3">
      <c r="A750" t="s">
        <v>37</v>
      </c>
      <c r="B750" t="s">
        <v>57</v>
      </c>
      <c r="C750" t="str">
        <f>HYPERLINK("https://tap.az/elanlar/neqliyyat/avtomobiller/47336661", "Linke kec")</f>
        <v>Linke kec</v>
      </c>
    </row>
    <row r="751" spans="1:3" x14ac:dyDescent="0.3">
      <c r="A751" t="s">
        <v>344</v>
      </c>
      <c r="B751" t="s">
        <v>177</v>
      </c>
      <c r="C751" t="str">
        <f>HYPERLINK("https://tap.az/elanlar/neqliyyat/avtomobiller/46543340", "Linke kec")</f>
        <v>Linke kec</v>
      </c>
    </row>
    <row r="752" spans="1:3" x14ac:dyDescent="0.3">
      <c r="A752" t="s">
        <v>583</v>
      </c>
      <c r="B752" t="s">
        <v>314</v>
      </c>
      <c r="C752" t="str">
        <f>HYPERLINK("https://tap.az/elanlar/neqliyyat/avtomobiller/48425608", "Linke kec")</f>
        <v>Linke kec</v>
      </c>
    </row>
    <row r="753" spans="1:3" x14ac:dyDescent="0.3">
      <c r="A753" t="s">
        <v>31</v>
      </c>
      <c r="B753" t="s">
        <v>275</v>
      </c>
      <c r="C753" t="str">
        <f>HYPERLINK("https://tap.az/elanlar/neqliyyat/avtomobiller/48425036", "Linke kec")</f>
        <v>Linke kec</v>
      </c>
    </row>
    <row r="754" spans="1:3" x14ac:dyDescent="0.3">
      <c r="A754" t="s">
        <v>470</v>
      </c>
      <c r="B754" t="s">
        <v>371</v>
      </c>
      <c r="C754" t="str">
        <f>HYPERLINK("https://tap.az/elanlar/neqliyyat/avtomobiller/48424933", "Linke kec")</f>
        <v>Linke kec</v>
      </c>
    </row>
    <row r="755" spans="1:3" x14ac:dyDescent="0.3">
      <c r="A755" t="s">
        <v>31</v>
      </c>
      <c r="B755" t="s">
        <v>186</v>
      </c>
      <c r="C755" t="str">
        <f>HYPERLINK("https://tap.az/elanlar/neqliyyat/avtomobiller/48424174", "Linke kec")</f>
        <v>Linke kec</v>
      </c>
    </row>
    <row r="756" spans="1:3" x14ac:dyDescent="0.3">
      <c r="A756" t="s">
        <v>331</v>
      </c>
      <c r="B756" t="s">
        <v>207</v>
      </c>
      <c r="C756" t="str">
        <f>HYPERLINK("https://tap.az/elanlar/neqliyyat/avtomobiller/48423661", "Linke kec")</f>
        <v>Linke kec</v>
      </c>
    </row>
    <row r="757" spans="1:3" x14ac:dyDescent="0.3">
      <c r="A757" t="s">
        <v>7</v>
      </c>
      <c r="B757" t="s">
        <v>112</v>
      </c>
      <c r="C757" t="str">
        <f>HYPERLINK("https://tap.az/elanlar/neqliyyat/avtomobiller/48423597", "Linke kec")</f>
        <v>Linke kec</v>
      </c>
    </row>
    <row r="758" spans="1:3" x14ac:dyDescent="0.3">
      <c r="A758" t="s">
        <v>223</v>
      </c>
      <c r="B758" t="s">
        <v>584</v>
      </c>
      <c r="C758" t="str">
        <f>HYPERLINK("https://tap.az/elanlar/neqliyyat/avtomobiller/48423368", "Linke kec")</f>
        <v>Linke kec</v>
      </c>
    </row>
    <row r="759" spans="1:3" x14ac:dyDescent="0.3">
      <c r="A759" t="s">
        <v>585</v>
      </c>
      <c r="B759" t="s">
        <v>14</v>
      </c>
      <c r="C759" t="str">
        <f>HYPERLINK("https://tap.az/elanlar/neqliyyat/avtomobiller/48423303", "Linke kec")</f>
        <v>Linke kec</v>
      </c>
    </row>
    <row r="760" spans="1:3" x14ac:dyDescent="0.3">
      <c r="A760" t="s">
        <v>248</v>
      </c>
      <c r="B760" t="s">
        <v>295</v>
      </c>
      <c r="C760" t="str">
        <f>HYPERLINK("https://tap.az/elanlar/neqliyyat/avtomobiller/48422835", "Linke kec")</f>
        <v>Linke kec</v>
      </c>
    </row>
    <row r="761" spans="1:3" x14ac:dyDescent="0.3">
      <c r="A761" t="s">
        <v>95</v>
      </c>
      <c r="B761" t="s">
        <v>180</v>
      </c>
      <c r="C761" t="str">
        <f>HYPERLINK("https://tap.az/elanlar/neqliyyat/avtomobiller/48422784", "Linke kec")</f>
        <v>Linke kec</v>
      </c>
    </row>
    <row r="762" spans="1:3" x14ac:dyDescent="0.3">
      <c r="A762" t="s">
        <v>370</v>
      </c>
      <c r="B762" t="s">
        <v>12</v>
      </c>
      <c r="C762" t="str">
        <f>HYPERLINK("https://tap.az/elanlar/neqliyyat/avtomobiller/48422508", "Linke kec")</f>
        <v>Linke kec</v>
      </c>
    </row>
    <row r="763" spans="1:3" x14ac:dyDescent="0.3">
      <c r="A763" t="s">
        <v>586</v>
      </c>
      <c r="B763" t="s">
        <v>101</v>
      </c>
      <c r="C763" t="str">
        <f>HYPERLINK("https://tap.az/elanlar/neqliyyat/avtomobiller/48422105", "Linke kec")</f>
        <v>Linke kec</v>
      </c>
    </row>
    <row r="764" spans="1:3" x14ac:dyDescent="0.3">
      <c r="A764" t="s">
        <v>235</v>
      </c>
      <c r="B764" t="s">
        <v>222</v>
      </c>
      <c r="C764" t="str">
        <f>HYPERLINK("https://tap.az/elanlar/neqliyyat/avtomobiller/48421868", "Linke kec")</f>
        <v>Linke kec</v>
      </c>
    </row>
    <row r="765" spans="1:3" x14ac:dyDescent="0.3">
      <c r="A765" t="s">
        <v>173</v>
      </c>
      <c r="B765" t="s">
        <v>8</v>
      </c>
      <c r="C765" t="str">
        <f>HYPERLINK("https://tap.az/elanlar/neqliyyat/avtomobiller/48421710", "Linke kec")</f>
        <v>Linke kec</v>
      </c>
    </row>
    <row r="766" spans="1:3" x14ac:dyDescent="0.3">
      <c r="A766" t="s">
        <v>147</v>
      </c>
      <c r="B766" t="s">
        <v>254</v>
      </c>
      <c r="C766" t="str">
        <f>HYPERLINK("https://tap.az/elanlar/neqliyyat/avtomobiller/48421639", "Linke kec")</f>
        <v>Linke kec</v>
      </c>
    </row>
    <row r="767" spans="1:3" x14ac:dyDescent="0.3">
      <c r="A767" t="s">
        <v>167</v>
      </c>
      <c r="B767" t="s">
        <v>72</v>
      </c>
      <c r="C767" t="str">
        <f>HYPERLINK("https://tap.az/elanlar/neqliyyat/avtomobiller/48421261", "Linke kec")</f>
        <v>Linke kec</v>
      </c>
    </row>
    <row r="768" spans="1:3" x14ac:dyDescent="0.3">
      <c r="A768" t="s">
        <v>587</v>
      </c>
      <c r="B768" t="s">
        <v>239</v>
      </c>
      <c r="C768" t="str">
        <f>HYPERLINK("https://tap.az/elanlar/neqliyyat/avtomobiller/48421109", "Linke kec")</f>
        <v>Linke kec</v>
      </c>
    </row>
    <row r="769" spans="1:3" x14ac:dyDescent="0.3">
      <c r="A769" t="s">
        <v>223</v>
      </c>
      <c r="B769" t="s">
        <v>156</v>
      </c>
      <c r="C769" t="str">
        <f>HYPERLINK("https://tap.az/elanlar/neqliyyat/avtomobiller/48420763", "Linke kec")</f>
        <v>Linke kec</v>
      </c>
    </row>
    <row r="770" spans="1:3" x14ac:dyDescent="0.3">
      <c r="A770" t="s">
        <v>588</v>
      </c>
      <c r="B770" t="s">
        <v>318</v>
      </c>
      <c r="C770" t="str">
        <f>HYPERLINK("https://tap.az/elanlar/neqliyyat/avtomobiller/48420523", "Linke kec")</f>
        <v>Linke kec</v>
      </c>
    </row>
    <row r="771" spans="1:3" x14ac:dyDescent="0.3">
      <c r="A771" t="s">
        <v>589</v>
      </c>
      <c r="B771" t="s">
        <v>557</v>
      </c>
      <c r="C771" t="str">
        <f>HYPERLINK("https://tap.az/elanlar/neqliyyat/avtomobiller/48420073", "Linke kec")</f>
        <v>Linke kec</v>
      </c>
    </row>
    <row r="772" spans="1:3" x14ac:dyDescent="0.3">
      <c r="A772" t="s">
        <v>53</v>
      </c>
      <c r="B772" t="s">
        <v>393</v>
      </c>
      <c r="C772" t="str">
        <f>HYPERLINK("https://tap.az/elanlar/neqliyyat/avtomobiller/48420058", "Linke kec")</f>
        <v>Linke kec</v>
      </c>
    </row>
    <row r="773" spans="1:3" x14ac:dyDescent="0.3">
      <c r="A773" t="s">
        <v>355</v>
      </c>
      <c r="B773" t="s">
        <v>222</v>
      </c>
      <c r="C773" t="str">
        <f>HYPERLINK("https://tap.az/elanlar/neqliyyat/avtomobiller/48419645", "Linke kec")</f>
        <v>Linke kec</v>
      </c>
    </row>
    <row r="774" spans="1:3" x14ac:dyDescent="0.3">
      <c r="A774" t="s">
        <v>7</v>
      </c>
      <c r="B774" t="s">
        <v>48</v>
      </c>
      <c r="C774" t="str">
        <f>HYPERLINK("https://tap.az/elanlar/neqliyyat/avtomobiller/48419619", "Linke kec")</f>
        <v>Linke kec</v>
      </c>
    </row>
    <row r="775" spans="1:3" x14ac:dyDescent="0.3">
      <c r="A775" t="s">
        <v>43</v>
      </c>
      <c r="B775" t="s">
        <v>58</v>
      </c>
      <c r="C775" t="str">
        <f>HYPERLINK("https://tap.az/elanlar/neqliyyat/avtomobiller/48419531", "Linke kec")</f>
        <v>Linke kec</v>
      </c>
    </row>
    <row r="776" spans="1:3" x14ac:dyDescent="0.3">
      <c r="A776" t="s">
        <v>476</v>
      </c>
      <c r="B776" t="s">
        <v>486</v>
      </c>
      <c r="C776" t="str">
        <f>HYPERLINK("https://tap.az/elanlar/neqliyyat/avtomobiller/48419497", "Linke kec")</f>
        <v>Linke kec</v>
      </c>
    </row>
    <row r="777" spans="1:3" x14ac:dyDescent="0.3">
      <c r="A777" t="s">
        <v>590</v>
      </c>
      <c r="B777" t="s">
        <v>24</v>
      </c>
      <c r="C777" t="str">
        <f>HYPERLINK("https://tap.az/elanlar/neqliyyat/avtomobiller/47822969", "Linke kec")</f>
        <v>Linke kec</v>
      </c>
    </row>
    <row r="778" spans="1:3" x14ac:dyDescent="0.3">
      <c r="A778" t="s">
        <v>118</v>
      </c>
      <c r="B778" t="s">
        <v>267</v>
      </c>
      <c r="C778" t="str">
        <f>HYPERLINK("https://tap.az/elanlar/neqliyyat/avtomobiller/48419182", "Linke kec")</f>
        <v>Linke kec</v>
      </c>
    </row>
    <row r="779" spans="1:3" x14ac:dyDescent="0.3">
      <c r="A779" t="s">
        <v>43</v>
      </c>
      <c r="B779" t="s">
        <v>70</v>
      </c>
      <c r="C779" t="str">
        <f>HYPERLINK("https://tap.az/elanlar/neqliyyat/avtomobiller/48419091", "Linke kec")</f>
        <v>Linke kec</v>
      </c>
    </row>
    <row r="780" spans="1:3" x14ac:dyDescent="0.3">
      <c r="A780" t="s">
        <v>591</v>
      </c>
      <c r="B780" t="s">
        <v>289</v>
      </c>
      <c r="C780" t="str">
        <f>HYPERLINK("https://tap.az/elanlar/neqliyyat/avtomobiller/48418951", "Linke kec")</f>
        <v>Linke kec</v>
      </c>
    </row>
    <row r="781" spans="1:3" x14ac:dyDescent="0.3">
      <c r="A781" t="s">
        <v>470</v>
      </c>
      <c r="B781" t="s">
        <v>65</v>
      </c>
      <c r="C781" t="str">
        <f>HYPERLINK("https://tap.az/elanlar/neqliyyat/avtomobiller/48418904", "Linke kec")</f>
        <v>Linke kec</v>
      </c>
    </row>
    <row r="782" spans="1:3" x14ac:dyDescent="0.3">
      <c r="A782" t="s">
        <v>592</v>
      </c>
      <c r="B782" t="s">
        <v>224</v>
      </c>
      <c r="C782" t="str">
        <f>HYPERLINK("https://tap.az/elanlar/neqliyyat/avtomobiller/48418801", "Linke kec")</f>
        <v>Linke kec</v>
      </c>
    </row>
    <row r="783" spans="1:3" x14ac:dyDescent="0.3">
      <c r="A783" t="s">
        <v>593</v>
      </c>
      <c r="B783" t="s">
        <v>151</v>
      </c>
      <c r="C783" t="str">
        <f>HYPERLINK("https://tap.az/elanlar/neqliyyat/avtomobiller/48143550", "Linke kec")</f>
        <v>Linke kec</v>
      </c>
    </row>
    <row r="784" spans="1:3" x14ac:dyDescent="0.3">
      <c r="A784" t="s">
        <v>282</v>
      </c>
      <c r="B784" t="s">
        <v>32</v>
      </c>
      <c r="C784" t="str">
        <f>HYPERLINK("https://tap.az/elanlar/neqliyyat/avtomobiller/48418221", "Linke kec")</f>
        <v>Linke kec</v>
      </c>
    </row>
    <row r="785" spans="1:3" x14ac:dyDescent="0.3">
      <c r="A785" t="s">
        <v>37</v>
      </c>
      <c r="B785" t="s">
        <v>594</v>
      </c>
      <c r="C785" t="str">
        <f>HYPERLINK("https://tap.az/elanlar/neqliyyat/avtomobiller/47858285", "Linke kec")</f>
        <v>Linke kec</v>
      </c>
    </row>
    <row r="786" spans="1:3" x14ac:dyDescent="0.3">
      <c r="A786" t="s">
        <v>161</v>
      </c>
      <c r="B786" t="s">
        <v>105</v>
      </c>
      <c r="C786" t="str">
        <f>HYPERLINK("https://tap.az/elanlar/neqliyyat/avtomobiller/48130148", "Linke kec")</f>
        <v>Linke kec</v>
      </c>
    </row>
    <row r="787" spans="1:3" x14ac:dyDescent="0.3">
      <c r="A787" t="s">
        <v>470</v>
      </c>
      <c r="B787" t="s">
        <v>373</v>
      </c>
      <c r="C787" t="str">
        <f>HYPERLINK("https://tap.az/elanlar/neqliyyat/avtomobiller/48417854", "Linke kec")</f>
        <v>Linke kec</v>
      </c>
    </row>
    <row r="788" spans="1:3" x14ac:dyDescent="0.3">
      <c r="A788" t="s">
        <v>308</v>
      </c>
      <c r="B788" t="s">
        <v>352</v>
      </c>
      <c r="C788" t="str">
        <f>HYPERLINK("https://tap.az/elanlar/neqliyyat/avtomobiller/48417828", "Linke kec")</f>
        <v>Linke kec</v>
      </c>
    </row>
    <row r="789" spans="1:3" x14ac:dyDescent="0.3">
      <c r="A789" t="s">
        <v>128</v>
      </c>
      <c r="B789" t="s">
        <v>192</v>
      </c>
      <c r="C789" t="str">
        <f>HYPERLINK("https://tap.az/elanlar/neqliyyat/avtomobiller/48417336", "Linke kec")</f>
        <v>Linke kec</v>
      </c>
    </row>
    <row r="790" spans="1:3" x14ac:dyDescent="0.3">
      <c r="A790" t="s">
        <v>126</v>
      </c>
      <c r="B790" t="s">
        <v>101</v>
      </c>
      <c r="C790" t="str">
        <f>HYPERLINK("https://tap.az/elanlar/neqliyyat/avtomobiller/47904784", "Linke kec")</f>
        <v>Linke kec</v>
      </c>
    </row>
    <row r="791" spans="1:3" x14ac:dyDescent="0.3">
      <c r="A791" t="s">
        <v>128</v>
      </c>
      <c r="B791" t="s">
        <v>595</v>
      </c>
      <c r="C791" t="str">
        <f>HYPERLINK("https://tap.az/elanlar/neqliyyat/avtomobiller/48119547", "Linke kec")</f>
        <v>Linke kec</v>
      </c>
    </row>
    <row r="792" spans="1:3" x14ac:dyDescent="0.3">
      <c r="A792" t="s">
        <v>596</v>
      </c>
      <c r="B792" t="s">
        <v>139</v>
      </c>
      <c r="C792" t="str">
        <f>HYPERLINK("https://tap.az/elanlar/neqliyyat/avtomobiller/48130963", "Linke kec")</f>
        <v>Linke kec</v>
      </c>
    </row>
    <row r="793" spans="1:3" x14ac:dyDescent="0.3">
      <c r="A793" t="s">
        <v>55</v>
      </c>
      <c r="B793" t="s">
        <v>168</v>
      </c>
      <c r="C793" t="str">
        <f>HYPERLINK("https://tap.az/elanlar/neqliyyat/avtomobiller/40572534", "Linke kec")</f>
        <v>Linke kec</v>
      </c>
    </row>
    <row r="794" spans="1:3" x14ac:dyDescent="0.3">
      <c r="A794" t="s">
        <v>506</v>
      </c>
      <c r="B794" t="s">
        <v>289</v>
      </c>
      <c r="C794" t="str">
        <f>HYPERLINK("https://tap.az/elanlar/neqliyyat/avtomobiller/47639030", "Linke kec")</f>
        <v>Linke kec</v>
      </c>
    </row>
    <row r="795" spans="1:3" x14ac:dyDescent="0.3">
      <c r="A795" t="s">
        <v>349</v>
      </c>
      <c r="B795" t="s">
        <v>103</v>
      </c>
      <c r="C795" t="str">
        <f>HYPERLINK("https://tap.az/elanlar/neqliyyat/avtomobiller/48413550", "Linke kec")</f>
        <v>Linke kec</v>
      </c>
    </row>
    <row r="796" spans="1:3" x14ac:dyDescent="0.3">
      <c r="A796" t="s">
        <v>597</v>
      </c>
      <c r="B796" t="s">
        <v>86</v>
      </c>
      <c r="C796" t="str">
        <f>HYPERLINK("https://tap.az/elanlar/neqliyyat/avtomobiller/48413205", "Linke kec")</f>
        <v>Linke kec</v>
      </c>
    </row>
    <row r="797" spans="1:3" x14ac:dyDescent="0.3">
      <c r="A797" t="s">
        <v>598</v>
      </c>
      <c r="B797" t="s">
        <v>46</v>
      </c>
      <c r="C797" t="str">
        <f>HYPERLINK("https://tap.az/elanlar/neqliyyat/avtomobiller/48412805", "Linke kec")</f>
        <v>Linke kec</v>
      </c>
    </row>
    <row r="798" spans="1:3" x14ac:dyDescent="0.3">
      <c r="A798" t="s">
        <v>248</v>
      </c>
      <c r="B798" t="s">
        <v>158</v>
      </c>
      <c r="C798" t="str">
        <f>HYPERLINK("https://tap.az/elanlar/neqliyyat/avtomobiller/48412666", "Linke kec")</f>
        <v>Linke kec</v>
      </c>
    </row>
    <row r="799" spans="1:3" x14ac:dyDescent="0.3">
      <c r="A799" t="s">
        <v>599</v>
      </c>
      <c r="B799" t="s">
        <v>204</v>
      </c>
      <c r="C799" t="str">
        <f>HYPERLINK("https://tap.az/elanlar/neqliyyat/avtomobiller/48412331", "Linke kec")</f>
        <v>Linke kec</v>
      </c>
    </row>
    <row r="800" spans="1:3" x14ac:dyDescent="0.3">
      <c r="A800" t="s">
        <v>232</v>
      </c>
      <c r="B800" t="s">
        <v>289</v>
      </c>
      <c r="C800" t="str">
        <f>HYPERLINK("https://tap.az/elanlar/neqliyyat/avtomobiller/48411980", "Linke kec")</f>
        <v>Linke kec</v>
      </c>
    </row>
    <row r="801" spans="1:3" x14ac:dyDescent="0.3">
      <c r="A801" t="s">
        <v>331</v>
      </c>
      <c r="B801" t="s">
        <v>177</v>
      </c>
      <c r="C801" t="str">
        <f>HYPERLINK("https://tap.az/elanlar/neqliyyat/avtomobiller/48411897", "Linke kec")</f>
        <v>Linke kec</v>
      </c>
    </row>
    <row r="802" spans="1:3" x14ac:dyDescent="0.3">
      <c r="A802" t="s">
        <v>51</v>
      </c>
      <c r="B802" t="s">
        <v>600</v>
      </c>
      <c r="C802" t="str">
        <f>HYPERLINK("https://tap.az/elanlar/neqliyyat/avtomobiller/48411383", "Linke kec")</f>
        <v>Linke kec</v>
      </c>
    </row>
    <row r="803" spans="1:3" x14ac:dyDescent="0.3">
      <c r="A803" t="s">
        <v>240</v>
      </c>
      <c r="B803" t="s">
        <v>166</v>
      </c>
      <c r="C803" t="str">
        <f>HYPERLINK("https://tap.az/elanlar/neqliyyat/avtomobiller/47388517", "Linke kec")</f>
        <v>Linke kec</v>
      </c>
    </row>
    <row r="804" spans="1:3" x14ac:dyDescent="0.3">
      <c r="A804" t="s">
        <v>353</v>
      </c>
      <c r="B804" t="s">
        <v>289</v>
      </c>
      <c r="C804" t="str">
        <f>HYPERLINK("https://tap.az/elanlar/neqliyyat/avtomobiller/48410811", "Linke kec")</f>
        <v>Linke kec</v>
      </c>
    </row>
    <row r="805" spans="1:3" x14ac:dyDescent="0.3">
      <c r="A805" t="s">
        <v>126</v>
      </c>
      <c r="B805" t="s">
        <v>129</v>
      </c>
      <c r="C805" t="str">
        <f>HYPERLINK("https://tap.az/elanlar/neqliyyat/avtomobiller/47494164", "Linke kec")</f>
        <v>Linke kec</v>
      </c>
    </row>
    <row r="806" spans="1:3" x14ac:dyDescent="0.3">
      <c r="A806" t="s">
        <v>67</v>
      </c>
      <c r="B806" t="s">
        <v>239</v>
      </c>
      <c r="C806" t="str">
        <f>HYPERLINK("https://tap.az/elanlar/neqliyyat/avtomobiller/48410451", "Linke kec")</f>
        <v>Linke kec</v>
      </c>
    </row>
    <row r="807" spans="1:3" x14ac:dyDescent="0.3">
      <c r="A807" t="s">
        <v>29</v>
      </c>
      <c r="B807" t="s">
        <v>48</v>
      </c>
      <c r="C807" t="str">
        <f>HYPERLINK("https://tap.az/elanlar/neqliyyat/avtomobiller/48409720", "Linke kec")</f>
        <v>Linke kec</v>
      </c>
    </row>
    <row r="808" spans="1:3" x14ac:dyDescent="0.3">
      <c r="A808" t="s">
        <v>221</v>
      </c>
      <c r="B808" t="s">
        <v>137</v>
      </c>
      <c r="C808" t="str">
        <f>HYPERLINK("https://tap.az/elanlar/neqliyyat/avtomobiller/48409391", "Linke kec")</f>
        <v>Linke kec</v>
      </c>
    </row>
    <row r="809" spans="1:3" x14ac:dyDescent="0.3">
      <c r="A809" t="s">
        <v>245</v>
      </c>
      <c r="B809" t="s">
        <v>295</v>
      </c>
      <c r="C809" t="str">
        <f>HYPERLINK("https://tap.az/elanlar/neqliyyat/avtomobiller/46843864", "Linke kec")</f>
        <v>Linke kec</v>
      </c>
    </row>
    <row r="810" spans="1:3" x14ac:dyDescent="0.3">
      <c r="A810" t="s">
        <v>63</v>
      </c>
      <c r="B810" t="s">
        <v>258</v>
      </c>
      <c r="C810" t="str">
        <f>HYPERLINK("https://tap.az/elanlar/neqliyyat/avtomobiller/48408784", "Linke kec")</f>
        <v>Linke kec</v>
      </c>
    </row>
    <row r="811" spans="1:3" x14ac:dyDescent="0.3">
      <c r="A811" t="s">
        <v>282</v>
      </c>
      <c r="B811" t="s">
        <v>601</v>
      </c>
      <c r="C811" t="str">
        <f>HYPERLINK("https://tap.az/elanlar/neqliyyat/avtomobiller/48408634", "Linke kec")</f>
        <v>Linke kec</v>
      </c>
    </row>
    <row r="812" spans="1:3" x14ac:dyDescent="0.3">
      <c r="A812" t="s">
        <v>77</v>
      </c>
      <c r="B812" t="s">
        <v>74</v>
      </c>
      <c r="C812" t="str">
        <f>HYPERLINK("https://tap.az/elanlar/neqliyyat/avtomobiller/44027253", "Linke kec")</f>
        <v>Linke kec</v>
      </c>
    </row>
    <row r="813" spans="1:3" x14ac:dyDescent="0.3">
      <c r="A813" t="s">
        <v>602</v>
      </c>
      <c r="B813" t="s">
        <v>121</v>
      </c>
      <c r="C813" t="str">
        <f>HYPERLINK("https://tap.az/elanlar/neqliyyat/avtomobiller/48407764", "Linke kec")</f>
        <v>Linke kec</v>
      </c>
    </row>
    <row r="814" spans="1:3" x14ac:dyDescent="0.3">
      <c r="A814" t="s">
        <v>190</v>
      </c>
      <c r="B814" t="s">
        <v>289</v>
      </c>
      <c r="C814" t="str">
        <f>HYPERLINK("https://tap.az/elanlar/neqliyyat/avtomobiller/48407578", "Linke kec")</f>
        <v>Linke kec</v>
      </c>
    </row>
    <row r="815" spans="1:3" x14ac:dyDescent="0.3">
      <c r="A815" t="s">
        <v>603</v>
      </c>
      <c r="B815" t="s">
        <v>604</v>
      </c>
      <c r="C815" t="str">
        <f>HYPERLINK("https://tap.az/elanlar/neqliyyat/avtomobiller/47506608", "Linke kec")</f>
        <v>Linke kec</v>
      </c>
    </row>
    <row r="816" spans="1:3" x14ac:dyDescent="0.3">
      <c r="A816" t="s">
        <v>37</v>
      </c>
      <c r="B816" t="s">
        <v>197</v>
      </c>
      <c r="C816" t="str">
        <f>HYPERLINK("https://tap.az/elanlar/neqliyyat/avtomobiller/48130736", "Linke kec")</f>
        <v>Linke kec</v>
      </c>
    </row>
    <row r="817" spans="1:3" x14ac:dyDescent="0.3">
      <c r="A817" t="s">
        <v>221</v>
      </c>
      <c r="B817" t="s">
        <v>90</v>
      </c>
      <c r="C817" t="str">
        <f>HYPERLINK("https://tap.az/elanlar/neqliyyat/avtomobiller/46255997", "Linke kec")</f>
        <v>Linke kec</v>
      </c>
    </row>
    <row r="818" spans="1:3" x14ac:dyDescent="0.3">
      <c r="A818" t="s">
        <v>37</v>
      </c>
      <c r="B818" t="s">
        <v>58</v>
      </c>
      <c r="C818" t="str">
        <f>HYPERLINK("https://tap.az/elanlar/neqliyyat/avtomobiller/48405676", "Linke kec")</f>
        <v>Linke kec</v>
      </c>
    </row>
    <row r="819" spans="1:3" x14ac:dyDescent="0.3">
      <c r="A819" t="s">
        <v>107</v>
      </c>
      <c r="B819" t="s">
        <v>20</v>
      </c>
      <c r="C819" t="str">
        <f>HYPERLINK("https://tap.az/elanlar/neqliyyat/avtomobiller/48075791", "Linke kec")</f>
        <v>Linke kec</v>
      </c>
    </row>
    <row r="820" spans="1:3" x14ac:dyDescent="0.3">
      <c r="A820" t="s">
        <v>605</v>
      </c>
      <c r="B820" t="s">
        <v>267</v>
      </c>
      <c r="C820" t="str">
        <f>HYPERLINK("https://tap.az/elanlar/neqliyyat/avtomobiller/48404687", "Linke kec")</f>
        <v>Linke kec</v>
      </c>
    </row>
    <row r="821" spans="1:3" x14ac:dyDescent="0.3">
      <c r="A821" t="s">
        <v>606</v>
      </c>
      <c r="B821" t="s">
        <v>287</v>
      </c>
      <c r="C821" t="str">
        <f>HYPERLINK("https://tap.az/elanlar/neqliyyat/avtomobiller/48404529", "Linke kec")</f>
        <v>Linke kec</v>
      </c>
    </row>
    <row r="822" spans="1:3" x14ac:dyDescent="0.3">
      <c r="A822" t="s">
        <v>155</v>
      </c>
      <c r="B822" t="s">
        <v>129</v>
      </c>
      <c r="C822" t="str">
        <f>HYPERLINK("https://tap.az/elanlar/neqliyyat/avtomobiller/48404125", "Linke kec")</f>
        <v>Linke kec</v>
      </c>
    </row>
    <row r="823" spans="1:3" x14ac:dyDescent="0.3">
      <c r="A823" t="s">
        <v>77</v>
      </c>
      <c r="B823" t="s">
        <v>20</v>
      </c>
      <c r="C823" t="str">
        <f>HYPERLINK("https://tap.az/elanlar/neqliyyat/avtomobiller/48404005", "Linke kec")</f>
        <v>Linke kec</v>
      </c>
    </row>
    <row r="824" spans="1:3" x14ac:dyDescent="0.3">
      <c r="A824" t="s">
        <v>257</v>
      </c>
      <c r="B824" t="s">
        <v>607</v>
      </c>
      <c r="C824" t="str">
        <f>HYPERLINK("https://tap.az/elanlar/neqliyyat/avtomobiller/47139536", "Linke kec")</f>
        <v>Linke kec</v>
      </c>
    </row>
    <row r="825" spans="1:3" x14ac:dyDescent="0.3">
      <c r="A825" t="s">
        <v>608</v>
      </c>
      <c r="B825" t="s">
        <v>168</v>
      </c>
      <c r="C825" t="str">
        <f>HYPERLINK("https://tap.az/elanlar/neqliyyat/avtomobiller/48402707", "Linke kec")</f>
        <v>Linke kec</v>
      </c>
    </row>
    <row r="826" spans="1:3" x14ac:dyDescent="0.3">
      <c r="A826" t="s">
        <v>235</v>
      </c>
      <c r="B826" t="s">
        <v>156</v>
      </c>
      <c r="C826" t="str">
        <f>HYPERLINK("https://tap.az/elanlar/neqliyyat/avtomobiller/48402679", "Linke kec")</f>
        <v>Linke kec</v>
      </c>
    </row>
    <row r="827" spans="1:3" x14ac:dyDescent="0.3">
      <c r="A827" t="s">
        <v>200</v>
      </c>
      <c r="B827" t="s">
        <v>122</v>
      </c>
      <c r="C827" t="str">
        <f>HYPERLINK("https://tap.az/elanlar/neqliyyat/avtomobiller/46175232", "Linke kec")</f>
        <v>Linke kec</v>
      </c>
    </row>
    <row r="828" spans="1:3" x14ac:dyDescent="0.3">
      <c r="A828" t="s">
        <v>344</v>
      </c>
      <c r="B828" t="s">
        <v>101</v>
      </c>
      <c r="C828" t="str">
        <f>HYPERLINK("https://tap.az/elanlar/neqliyyat/avtomobiller/46503396", "Linke kec")</f>
        <v>Linke kec</v>
      </c>
    </row>
    <row r="829" spans="1:3" x14ac:dyDescent="0.3">
      <c r="A829" t="s">
        <v>232</v>
      </c>
      <c r="B829" t="s">
        <v>459</v>
      </c>
      <c r="C829" t="str">
        <f>HYPERLINK("https://tap.az/elanlar/neqliyyat/avtomobiller/48401987", "Linke kec")</f>
        <v>Linke kec</v>
      </c>
    </row>
    <row r="830" spans="1:3" x14ac:dyDescent="0.3">
      <c r="A830" t="s">
        <v>223</v>
      </c>
      <c r="B830" t="s">
        <v>90</v>
      </c>
      <c r="C830" t="str">
        <f>HYPERLINK("https://tap.az/elanlar/neqliyyat/avtomobiller/48401869", "Linke kec")</f>
        <v>Linke kec</v>
      </c>
    </row>
    <row r="831" spans="1:3" x14ac:dyDescent="0.3">
      <c r="A831" t="s">
        <v>609</v>
      </c>
      <c r="B831" t="s">
        <v>610</v>
      </c>
      <c r="C831" t="str">
        <f>HYPERLINK("https://tap.az/elanlar/neqliyyat/avtomobiller/41342646", "Linke kec")</f>
        <v>Linke kec</v>
      </c>
    </row>
    <row r="832" spans="1:3" x14ac:dyDescent="0.3">
      <c r="A832" t="s">
        <v>286</v>
      </c>
      <c r="B832" t="s">
        <v>258</v>
      </c>
      <c r="C832" t="str">
        <f>HYPERLINK("https://tap.az/elanlar/neqliyyat/avtomobiller/48401542", "Linke kec")</f>
        <v>Linke kec</v>
      </c>
    </row>
    <row r="833" spans="1:3" x14ac:dyDescent="0.3">
      <c r="A833" t="s">
        <v>611</v>
      </c>
      <c r="B833" t="s">
        <v>14</v>
      </c>
      <c r="C833" t="str">
        <f>HYPERLINK("https://tap.az/elanlar/neqliyyat/avtomobiller/48400655", "Linke kec")</f>
        <v>Linke kec</v>
      </c>
    </row>
    <row r="834" spans="1:3" x14ac:dyDescent="0.3">
      <c r="A834" t="s">
        <v>612</v>
      </c>
      <c r="B834" t="s">
        <v>267</v>
      </c>
      <c r="C834" t="str">
        <f>HYPERLINK("https://tap.az/elanlar/neqliyyat/avtomobiller/48399580", "Linke kec")</f>
        <v>Linke kec</v>
      </c>
    </row>
    <row r="835" spans="1:3" x14ac:dyDescent="0.3">
      <c r="A835" t="s">
        <v>200</v>
      </c>
      <c r="B835" t="s">
        <v>284</v>
      </c>
      <c r="C835" t="str">
        <f>HYPERLINK("https://tap.az/elanlar/neqliyyat/avtomobiller/46165333", "Linke kec")</f>
        <v>Linke kec</v>
      </c>
    </row>
    <row r="836" spans="1:3" x14ac:dyDescent="0.3">
      <c r="A836" t="s">
        <v>100</v>
      </c>
      <c r="B836" t="s">
        <v>58</v>
      </c>
      <c r="C836" t="str">
        <f>HYPERLINK("https://tap.az/elanlar/neqliyyat/avtomobiller/46933254", "Linke kec")</f>
        <v>Linke kec</v>
      </c>
    </row>
    <row r="837" spans="1:3" x14ac:dyDescent="0.3">
      <c r="A837" t="s">
        <v>286</v>
      </c>
      <c r="B837" t="s">
        <v>261</v>
      </c>
      <c r="C837" t="str">
        <f>HYPERLINK("https://tap.az/elanlar/neqliyyat/avtomobiller/48398920", "Linke kec")</f>
        <v>Linke kec</v>
      </c>
    </row>
    <row r="838" spans="1:3" x14ac:dyDescent="0.3">
      <c r="A838" t="s">
        <v>240</v>
      </c>
      <c r="B838" t="s">
        <v>613</v>
      </c>
      <c r="C838" t="str">
        <f>HYPERLINK("https://tap.az/elanlar/neqliyyat/avtomobiller/48398247", "Linke kec")</f>
        <v>Linke kec</v>
      </c>
    </row>
    <row r="839" spans="1:3" x14ac:dyDescent="0.3">
      <c r="A839" t="s">
        <v>77</v>
      </c>
      <c r="B839" t="s">
        <v>18</v>
      </c>
      <c r="C839" t="str">
        <f>HYPERLINK("https://tap.az/elanlar/neqliyyat/avtomobiller/48397854", "Linke kec")</f>
        <v>Linke kec</v>
      </c>
    </row>
    <row r="840" spans="1:3" x14ac:dyDescent="0.3">
      <c r="A840" t="s">
        <v>17</v>
      </c>
      <c r="B840" t="s">
        <v>83</v>
      </c>
      <c r="C840" t="str">
        <f>HYPERLINK("https://tap.az/elanlar/neqliyyat/avtomobiller/48397159", "Linke kec")</f>
        <v>Linke kec</v>
      </c>
    </row>
    <row r="841" spans="1:3" x14ac:dyDescent="0.3">
      <c r="A841" t="s">
        <v>614</v>
      </c>
      <c r="B841" t="s">
        <v>207</v>
      </c>
      <c r="C841" t="str">
        <f>HYPERLINK("https://tap.az/elanlar/neqliyyat/avtomobiller/48397033", "Linke kec")</f>
        <v>Linke kec</v>
      </c>
    </row>
    <row r="842" spans="1:3" x14ac:dyDescent="0.3">
      <c r="A842" t="s">
        <v>615</v>
      </c>
      <c r="B842" t="s">
        <v>129</v>
      </c>
      <c r="C842" t="str">
        <f>HYPERLINK("https://tap.az/elanlar/neqliyyat/avtomobiller/45046593", "Linke kec")</f>
        <v>Linke kec</v>
      </c>
    </row>
    <row r="843" spans="1:3" x14ac:dyDescent="0.3">
      <c r="A843" t="s">
        <v>616</v>
      </c>
      <c r="B843" t="s">
        <v>114</v>
      </c>
      <c r="C843" t="str">
        <f>HYPERLINK("https://tap.az/elanlar/neqliyyat/avtomobiller/48396807", "Linke kec")</f>
        <v>Linke kec</v>
      </c>
    </row>
    <row r="844" spans="1:3" x14ac:dyDescent="0.3">
      <c r="A844" t="s">
        <v>319</v>
      </c>
      <c r="B844" t="s">
        <v>79</v>
      </c>
      <c r="C844" t="str">
        <f>HYPERLINK("https://tap.az/elanlar/neqliyyat/avtomobiller/48395046", "Linke kec")</f>
        <v>Linke kec</v>
      </c>
    </row>
    <row r="845" spans="1:3" x14ac:dyDescent="0.3">
      <c r="A845" t="s">
        <v>476</v>
      </c>
      <c r="B845" t="s">
        <v>425</v>
      </c>
      <c r="C845" t="str">
        <f>HYPERLINK("https://tap.az/elanlar/neqliyyat/avtomobiller/47473237", "Linke kec")</f>
        <v>Linke kec</v>
      </c>
    </row>
    <row r="846" spans="1:3" x14ac:dyDescent="0.3">
      <c r="A846" t="s">
        <v>53</v>
      </c>
      <c r="B846" t="s">
        <v>617</v>
      </c>
      <c r="C846" t="str">
        <f>HYPERLINK("https://tap.az/elanlar/neqliyyat/avtomobiller/48394572", "Linke kec")</f>
        <v>Linke kec</v>
      </c>
    </row>
    <row r="847" spans="1:3" x14ac:dyDescent="0.3">
      <c r="A847" t="s">
        <v>618</v>
      </c>
      <c r="B847" t="s">
        <v>227</v>
      </c>
      <c r="C847" t="str">
        <f>HYPERLINK("https://tap.az/elanlar/neqliyyat/avtomobiller/48394560", "Linke kec")</f>
        <v>Linke kec</v>
      </c>
    </row>
    <row r="848" spans="1:3" x14ac:dyDescent="0.3">
      <c r="A848" t="s">
        <v>128</v>
      </c>
      <c r="B848" t="s">
        <v>24</v>
      </c>
      <c r="C848" t="str">
        <f>HYPERLINK("https://tap.az/elanlar/neqliyyat/avtomobiller/48394132", "Linke kec")</f>
        <v>Linke kec</v>
      </c>
    </row>
    <row r="849" spans="1:3" x14ac:dyDescent="0.3">
      <c r="A849" t="s">
        <v>307</v>
      </c>
      <c r="B849" t="s">
        <v>198</v>
      </c>
      <c r="C849" t="str">
        <f>HYPERLINK("https://tap.az/elanlar/neqliyyat/avtomobiller/48393857", "Linke kec")</f>
        <v>Linke kec</v>
      </c>
    </row>
    <row r="850" spans="1:3" x14ac:dyDescent="0.3">
      <c r="A850" t="s">
        <v>118</v>
      </c>
      <c r="B850" t="s">
        <v>38</v>
      </c>
      <c r="C850" t="str">
        <f>HYPERLINK("https://tap.az/elanlar/neqliyyat/avtomobiller/48393745", "Linke kec")</f>
        <v>Linke kec</v>
      </c>
    </row>
    <row r="851" spans="1:3" x14ac:dyDescent="0.3">
      <c r="A851" t="s">
        <v>130</v>
      </c>
      <c r="B851" t="s">
        <v>350</v>
      </c>
      <c r="C851" t="str">
        <f>HYPERLINK("https://tap.az/elanlar/neqliyyat/avtomobiller/48135397", "Linke kec")</f>
        <v>Linke kec</v>
      </c>
    </row>
    <row r="852" spans="1:3" x14ac:dyDescent="0.3">
      <c r="A852" t="s">
        <v>37</v>
      </c>
      <c r="B852" t="s">
        <v>88</v>
      </c>
      <c r="C852" t="str">
        <f>HYPERLINK("https://tap.az/elanlar/neqliyyat/avtomobiller/48393122", "Linke kec")</f>
        <v>Linke kec</v>
      </c>
    </row>
    <row r="853" spans="1:3" x14ac:dyDescent="0.3">
      <c r="A853" t="s">
        <v>200</v>
      </c>
      <c r="B853" t="s">
        <v>137</v>
      </c>
      <c r="C853" t="str">
        <f>HYPERLINK("https://tap.az/elanlar/neqliyyat/avtomobiller/48392744", "Linke kec")</f>
        <v>Linke kec</v>
      </c>
    </row>
    <row r="854" spans="1:3" x14ac:dyDescent="0.3">
      <c r="A854" t="s">
        <v>77</v>
      </c>
      <c r="B854" t="s">
        <v>542</v>
      </c>
      <c r="C854" t="str">
        <f>HYPERLINK("https://tap.az/elanlar/neqliyyat/avtomobiller/48392703", "Linke kec")</f>
        <v>Linke kec</v>
      </c>
    </row>
    <row r="855" spans="1:3" x14ac:dyDescent="0.3">
      <c r="A855" t="s">
        <v>11</v>
      </c>
      <c r="B855" t="s">
        <v>127</v>
      </c>
      <c r="C855" t="str">
        <f>HYPERLINK("https://tap.az/elanlar/neqliyyat/avtomobiller/48390754", "Linke kec")</f>
        <v>Linke kec</v>
      </c>
    </row>
    <row r="856" spans="1:3" x14ac:dyDescent="0.3">
      <c r="A856" t="s">
        <v>525</v>
      </c>
      <c r="B856" t="s">
        <v>114</v>
      </c>
      <c r="C856" t="str">
        <f>HYPERLINK("https://tap.az/elanlar/neqliyyat/avtomobiller/48390615", "Linke kec")</f>
        <v>Linke kec</v>
      </c>
    </row>
    <row r="857" spans="1:3" x14ac:dyDescent="0.3">
      <c r="A857" t="s">
        <v>51</v>
      </c>
      <c r="B857" t="s">
        <v>14</v>
      </c>
      <c r="C857" t="str">
        <f>HYPERLINK("https://tap.az/elanlar/neqliyyat/avtomobiller/47019276", "Linke kec")</f>
        <v>Linke kec</v>
      </c>
    </row>
    <row r="858" spans="1:3" x14ac:dyDescent="0.3">
      <c r="A858" t="s">
        <v>252</v>
      </c>
      <c r="B858" t="s">
        <v>557</v>
      </c>
      <c r="C858" t="str">
        <f>HYPERLINK("https://tap.az/elanlar/neqliyyat/avtomobiller/42618312", "Linke kec")</f>
        <v>Linke kec</v>
      </c>
    </row>
    <row r="859" spans="1:3" x14ac:dyDescent="0.3">
      <c r="A859" t="s">
        <v>619</v>
      </c>
      <c r="B859" t="s">
        <v>620</v>
      </c>
      <c r="C859" t="str">
        <f>HYPERLINK("https://tap.az/elanlar/neqliyyat/avtomobiller/48389323", "Linke kec")</f>
        <v>Linke kec</v>
      </c>
    </row>
    <row r="860" spans="1:3" x14ac:dyDescent="0.3">
      <c r="A860" t="s">
        <v>621</v>
      </c>
      <c r="B860" t="s">
        <v>96</v>
      </c>
      <c r="C860" t="str">
        <f>HYPERLINK("https://tap.az/elanlar/neqliyyat/avtomobiller/48388114", "Linke kec")</f>
        <v>Linke kec</v>
      </c>
    </row>
    <row r="861" spans="1:3" x14ac:dyDescent="0.3">
      <c r="A861" t="s">
        <v>9</v>
      </c>
      <c r="B861" t="s">
        <v>164</v>
      </c>
      <c r="C861" t="str">
        <f>HYPERLINK("https://tap.az/elanlar/neqliyyat/avtomobiller/48388106", "Linke kec")</f>
        <v>Linke kec</v>
      </c>
    </row>
    <row r="862" spans="1:3" x14ac:dyDescent="0.3">
      <c r="A862" t="s">
        <v>291</v>
      </c>
      <c r="B862" t="s">
        <v>198</v>
      </c>
      <c r="C862" t="str">
        <f>HYPERLINK("https://tap.az/elanlar/neqliyyat/avtomobiller/46046736", "Linke kec")</f>
        <v>Linke kec</v>
      </c>
    </row>
    <row r="863" spans="1:3" x14ac:dyDescent="0.3">
      <c r="A863" t="s">
        <v>622</v>
      </c>
      <c r="B863" t="s">
        <v>46</v>
      </c>
      <c r="C863" t="str">
        <f>HYPERLINK("https://tap.az/elanlar/neqliyyat/avtomobiller/48127342", "Linke kec")</f>
        <v>Linke kec</v>
      </c>
    </row>
    <row r="864" spans="1:3" x14ac:dyDescent="0.3">
      <c r="A864" t="s">
        <v>33</v>
      </c>
      <c r="B864" t="s">
        <v>373</v>
      </c>
      <c r="C864" t="str">
        <f>HYPERLINK("https://tap.az/elanlar/neqliyyat/avtomobiller/48387376", "Linke kec")</f>
        <v>Linke kec</v>
      </c>
    </row>
    <row r="865" spans="1:3" x14ac:dyDescent="0.3">
      <c r="A865" t="s">
        <v>188</v>
      </c>
      <c r="B865" t="s">
        <v>164</v>
      </c>
      <c r="C865" t="str">
        <f>HYPERLINK("https://tap.az/elanlar/neqliyyat/avtomobiller/48386821", "Linke kec")</f>
        <v>Linke kec</v>
      </c>
    </row>
    <row r="866" spans="1:3" x14ac:dyDescent="0.3">
      <c r="A866" t="s">
        <v>53</v>
      </c>
      <c r="B866" t="s">
        <v>369</v>
      </c>
      <c r="C866" t="str">
        <f>HYPERLINK("https://tap.az/elanlar/neqliyyat/avtomobiller/48386457", "Linke kec")</f>
        <v>Linke kec</v>
      </c>
    </row>
    <row r="867" spans="1:3" x14ac:dyDescent="0.3">
      <c r="A867" t="s">
        <v>621</v>
      </c>
      <c r="B867" t="s">
        <v>137</v>
      </c>
      <c r="C867" t="str">
        <f>HYPERLINK("https://tap.az/elanlar/neqliyyat/avtomobiller/48385087", "Linke kec")</f>
        <v>Linke kec</v>
      </c>
    </row>
    <row r="868" spans="1:3" x14ac:dyDescent="0.3">
      <c r="A868" t="s">
        <v>126</v>
      </c>
      <c r="B868" t="s">
        <v>114</v>
      </c>
      <c r="C868" t="str">
        <f>HYPERLINK("https://tap.az/elanlar/neqliyyat/avtomobiller/48385073", "Linke kec")</f>
        <v>Linke kec</v>
      </c>
    </row>
    <row r="869" spans="1:3" x14ac:dyDescent="0.3">
      <c r="A869" t="s">
        <v>73</v>
      </c>
      <c r="B869" t="s">
        <v>186</v>
      </c>
      <c r="C869" t="str">
        <f>HYPERLINK("https://tap.az/elanlar/neqliyyat/avtomobiller/48384566", "Linke kec")</f>
        <v>Linke kec</v>
      </c>
    </row>
    <row r="870" spans="1:3" x14ac:dyDescent="0.3">
      <c r="A870" t="s">
        <v>206</v>
      </c>
      <c r="B870" t="s">
        <v>108</v>
      </c>
      <c r="C870" t="str">
        <f>HYPERLINK("https://tap.az/elanlar/neqliyyat/avtomobiller/46705882", "Linke kec")</f>
        <v>Linke kec</v>
      </c>
    </row>
    <row r="871" spans="1:3" x14ac:dyDescent="0.3">
      <c r="A871" t="s">
        <v>47</v>
      </c>
      <c r="B871" t="s">
        <v>258</v>
      </c>
      <c r="C871" t="str">
        <f>HYPERLINK("https://tap.az/elanlar/neqliyyat/avtomobiller/48384287", "Linke kec")</f>
        <v>Linke kec</v>
      </c>
    </row>
    <row r="872" spans="1:3" x14ac:dyDescent="0.3">
      <c r="A872" t="s">
        <v>126</v>
      </c>
      <c r="B872" t="s">
        <v>166</v>
      </c>
      <c r="C872" t="str">
        <f>HYPERLINK("https://tap.az/elanlar/neqliyyat/avtomobiller/48384140", "Linke kec")</f>
        <v>Linke kec</v>
      </c>
    </row>
    <row r="873" spans="1:3" x14ac:dyDescent="0.3">
      <c r="A873" t="s">
        <v>47</v>
      </c>
      <c r="B873" t="s">
        <v>90</v>
      </c>
      <c r="C873" t="str">
        <f>HYPERLINK("https://tap.az/elanlar/neqliyyat/avtomobiller/48383437", "Linke kec")</f>
        <v>Linke kec</v>
      </c>
    </row>
    <row r="874" spans="1:3" x14ac:dyDescent="0.3">
      <c r="A874" t="s">
        <v>155</v>
      </c>
      <c r="B874" t="s">
        <v>46</v>
      </c>
      <c r="C874" t="str">
        <f>HYPERLINK("https://tap.az/elanlar/neqliyyat/avtomobiller/48383307", "Linke kec")</f>
        <v>Linke kec</v>
      </c>
    </row>
    <row r="875" spans="1:3" x14ac:dyDescent="0.3">
      <c r="A875" t="s">
        <v>91</v>
      </c>
      <c r="B875" t="s">
        <v>277</v>
      </c>
      <c r="C875" t="str">
        <f>HYPERLINK("https://tap.az/elanlar/neqliyyat/avtomobiller/48383147", "Linke kec")</f>
        <v>Linke kec</v>
      </c>
    </row>
    <row r="876" spans="1:3" x14ac:dyDescent="0.3">
      <c r="A876" t="s">
        <v>155</v>
      </c>
      <c r="B876" t="s">
        <v>227</v>
      </c>
      <c r="C876" t="str">
        <f>HYPERLINK("https://tap.az/elanlar/neqliyyat/avtomobiller/48382683", "Linke kec")</f>
        <v>Linke kec</v>
      </c>
    </row>
    <row r="877" spans="1:3" x14ac:dyDescent="0.3">
      <c r="A877" t="s">
        <v>146</v>
      </c>
      <c r="B877" t="s">
        <v>52</v>
      </c>
      <c r="C877" t="str">
        <f>HYPERLINK("https://tap.az/elanlar/neqliyyat/avtomobiller/48382554", "Linke kec")</f>
        <v>Linke kec</v>
      </c>
    </row>
    <row r="878" spans="1:3" x14ac:dyDescent="0.3">
      <c r="A878" t="s">
        <v>154</v>
      </c>
      <c r="B878" t="s">
        <v>267</v>
      </c>
      <c r="C878" t="str">
        <f>HYPERLINK("https://tap.az/elanlar/neqliyyat/avtomobiller/48381927", "Linke kec")</f>
        <v>Linke kec</v>
      </c>
    </row>
    <row r="879" spans="1:3" x14ac:dyDescent="0.3">
      <c r="A879" t="s">
        <v>308</v>
      </c>
      <c r="B879" t="s">
        <v>226</v>
      </c>
      <c r="C879" t="str">
        <f>HYPERLINK("https://tap.az/elanlar/neqliyyat/avtomobiller/46686812", "Linke kec")</f>
        <v>Linke kec</v>
      </c>
    </row>
    <row r="880" spans="1:3" x14ac:dyDescent="0.3">
      <c r="A880" t="s">
        <v>623</v>
      </c>
      <c r="B880" t="s">
        <v>158</v>
      </c>
      <c r="C880" t="str">
        <f>HYPERLINK("https://tap.az/elanlar/neqliyyat/avtomobiller/48381523", "Linke kec")</f>
        <v>Linke kec</v>
      </c>
    </row>
    <row r="881" spans="1:3" x14ac:dyDescent="0.3">
      <c r="A881" t="s">
        <v>624</v>
      </c>
      <c r="B881" t="s">
        <v>66</v>
      </c>
      <c r="C881" t="str">
        <f>HYPERLINK("https://tap.az/elanlar/neqliyyat/avtomobiller/48381440", "Linke kec")</f>
        <v>Linke kec</v>
      </c>
    </row>
    <row r="882" spans="1:3" x14ac:dyDescent="0.3">
      <c r="A882" t="s">
        <v>625</v>
      </c>
      <c r="B882" t="s">
        <v>258</v>
      </c>
      <c r="C882" t="str">
        <f>HYPERLINK("https://tap.az/elanlar/neqliyyat/avtomobiller/48381384", "Linke kec")</f>
        <v>Linke kec</v>
      </c>
    </row>
    <row r="883" spans="1:3" x14ac:dyDescent="0.3">
      <c r="A883" t="s">
        <v>485</v>
      </c>
      <c r="B883" t="s">
        <v>20</v>
      </c>
      <c r="C883" t="str">
        <f>HYPERLINK("https://tap.az/elanlar/neqliyyat/avtomobiller/48380749", "Linke kec")</f>
        <v>Linke kec</v>
      </c>
    </row>
    <row r="884" spans="1:3" x14ac:dyDescent="0.3">
      <c r="A884" t="s">
        <v>43</v>
      </c>
      <c r="B884" t="s">
        <v>151</v>
      </c>
      <c r="C884" t="str">
        <f>HYPERLINK("https://tap.az/elanlar/neqliyyat/avtomobiller/48380649", "Linke kec")</f>
        <v>Linke kec</v>
      </c>
    </row>
    <row r="885" spans="1:3" x14ac:dyDescent="0.3">
      <c r="A885" t="s">
        <v>359</v>
      </c>
      <c r="B885" t="s">
        <v>4</v>
      </c>
      <c r="C885" t="str">
        <f>HYPERLINK("https://tap.az/elanlar/neqliyyat/avtomobiller/48380334", "Linke kec")</f>
        <v>Linke kec</v>
      </c>
    </row>
    <row r="886" spans="1:3" x14ac:dyDescent="0.3">
      <c r="A886" t="s">
        <v>626</v>
      </c>
      <c r="B886" t="s">
        <v>364</v>
      </c>
      <c r="C886" t="str">
        <f>HYPERLINK("https://tap.az/elanlar/neqliyyat/avtomobiller/47528979", "Linke kec")</f>
        <v>Linke kec</v>
      </c>
    </row>
    <row r="887" spans="1:3" x14ac:dyDescent="0.3">
      <c r="A887" t="s">
        <v>37</v>
      </c>
      <c r="B887" t="s">
        <v>38</v>
      </c>
      <c r="C887" t="str">
        <f>HYPERLINK("https://tap.az/elanlar/neqliyyat/avtomobiller/48379824", "Linke kec")</f>
        <v>Linke kec</v>
      </c>
    </row>
    <row r="888" spans="1:3" x14ac:dyDescent="0.3">
      <c r="A888" t="s">
        <v>43</v>
      </c>
      <c r="B888" t="s">
        <v>151</v>
      </c>
      <c r="C888" t="str">
        <f>HYPERLINK("https://tap.az/elanlar/neqliyyat/avtomobiller/47578894", "Linke kec")</f>
        <v>Linke kec</v>
      </c>
    </row>
    <row r="889" spans="1:3" x14ac:dyDescent="0.3">
      <c r="A889" t="s">
        <v>627</v>
      </c>
      <c r="B889" t="s">
        <v>256</v>
      </c>
      <c r="C889" t="str">
        <f>HYPERLINK("https://tap.az/elanlar/neqliyyat/avtomobiller/48378180", "Linke kec")</f>
        <v>Linke kec</v>
      </c>
    </row>
    <row r="890" spans="1:3" x14ac:dyDescent="0.3">
      <c r="A890" t="s">
        <v>147</v>
      </c>
      <c r="B890" t="s">
        <v>125</v>
      </c>
      <c r="C890" t="str">
        <f>HYPERLINK("https://tap.az/elanlar/neqliyyat/avtomobiller/48378151", "Linke kec")</f>
        <v>Linke kec</v>
      </c>
    </row>
    <row r="891" spans="1:3" x14ac:dyDescent="0.3">
      <c r="A891" t="s">
        <v>500</v>
      </c>
      <c r="B891" t="s">
        <v>86</v>
      </c>
      <c r="C891" t="str">
        <f>HYPERLINK("https://tap.az/elanlar/neqliyyat/avtomobiller/48378136", "Linke kec")</f>
        <v>Linke kec</v>
      </c>
    </row>
    <row r="892" spans="1:3" x14ac:dyDescent="0.3">
      <c r="A892" t="s">
        <v>184</v>
      </c>
      <c r="B892" t="s">
        <v>199</v>
      </c>
      <c r="C892" t="str">
        <f>HYPERLINK("https://tap.az/elanlar/neqliyyat/avtomobiller/48377784", "Linke kec")</f>
        <v>Linke kec</v>
      </c>
    </row>
    <row r="893" spans="1:3" x14ac:dyDescent="0.3">
      <c r="A893" t="s">
        <v>200</v>
      </c>
      <c r="B893" t="s">
        <v>129</v>
      </c>
      <c r="C893" t="str">
        <f>HYPERLINK("https://tap.az/elanlar/neqliyyat/avtomobiller/48377293", "Linke kec")</f>
        <v>Linke kec</v>
      </c>
    </row>
    <row r="894" spans="1:3" x14ac:dyDescent="0.3">
      <c r="A894" t="s">
        <v>126</v>
      </c>
      <c r="B894" t="s">
        <v>127</v>
      </c>
      <c r="C894" t="str">
        <f>HYPERLINK("https://tap.az/elanlar/neqliyyat/avtomobiller/47409839", "Linke kec")</f>
        <v>Linke kec</v>
      </c>
    </row>
    <row r="895" spans="1:3" x14ac:dyDescent="0.3">
      <c r="A895" t="s">
        <v>67</v>
      </c>
      <c r="B895" t="s">
        <v>57</v>
      </c>
      <c r="C895" t="str">
        <f>HYPERLINK("https://tap.az/elanlar/neqliyyat/avtomobiller/48377093", "Linke kec")</f>
        <v>Linke kec</v>
      </c>
    </row>
    <row r="896" spans="1:3" x14ac:dyDescent="0.3">
      <c r="A896" t="s">
        <v>628</v>
      </c>
      <c r="B896" t="s">
        <v>143</v>
      </c>
      <c r="C896" t="str">
        <f>HYPERLINK("https://tap.az/elanlar/neqliyyat/avtomobiller/48376432", "Linke kec")</f>
        <v>Linke kec</v>
      </c>
    </row>
    <row r="897" spans="1:3" x14ac:dyDescent="0.3">
      <c r="A897" t="s">
        <v>372</v>
      </c>
      <c r="B897" t="s">
        <v>8</v>
      </c>
      <c r="C897" t="str">
        <f>HYPERLINK("https://tap.az/elanlar/neqliyyat/avtomobiller/48376317", "Linke kec")</f>
        <v>Linke kec</v>
      </c>
    </row>
    <row r="898" spans="1:3" x14ac:dyDescent="0.3">
      <c r="A898" t="s">
        <v>95</v>
      </c>
      <c r="B898" t="s">
        <v>124</v>
      </c>
      <c r="C898" t="str">
        <f>HYPERLINK("https://tap.az/elanlar/neqliyyat/avtomobiller/48375734", "Linke kec")</f>
        <v>Linke kec</v>
      </c>
    </row>
    <row r="899" spans="1:3" x14ac:dyDescent="0.3">
      <c r="A899" t="s">
        <v>586</v>
      </c>
      <c r="B899" t="s">
        <v>267</v>
      </c>
      <c r="C899" t="str">
        <f>HYPERLINK("https://tap.az/elanlar/neqliyyat/avtomobiller/48375324", "Linke kec")</f>
        <v>Linke kec</v>
      </c>
    </row>
    <row r="900" spans="1:3" x14ac:dyDescent="0.3">
      <c r="A900" t="s">
        <v>629</v>
      </c>
      <c r="B900" t="s">
        <v>83</v>
      </c>
      <c r="C900" t="str">
        <f>HYPERLINK("https://tap.az/elanlar/neqliyyat/avtomobiller/48375094", "Linke kec")</f>
        <v>Linke kec</v>
      </c>
    </row>
    <row r="901" spans="1:3" x14ac:dyDescent="0.3">
      <c r="A901" t="s">
        <v>476</v>
      </c>
      <c r="B901" t="s">
        <v>486</v>
      </c>
      <c r="C901" t="str">
        <f>HYPERLINK("https://tap.az/elanlar/neqliyyat/avtomobiller/48374940", "Linke kec")</f>
        <v>Linke kec</v>
      </c>
    </row>
    <row r="902" spans="1:3" x14ac:dyDescent="0.3">
      <c r="A902" t="s">
        <v>630</v>
      </c>
      <c r="B902" t="s">
        <v>267</v>
      </c>
      <c r="C902" t="str">
        <f>HYPERLINK("https://tap.az/elanlar/neqliyyat/avtomobiller/48374415", "Linke kec")</f>
        <v>Linke kec</v>
      </c>
    </row>
    <row r="903" spans="1:3" x14ac:dyDescent="0.3">
      <c r="A903" t="s">
        <v>631</v>
      </c>
      <c r="B903" t="s">
        <v>461</v>
      </c>
      <c r="C903" t="str">
        <f>HYPERLINK("https://tap.az/elanlar/neqliyyat/avtomobiller/48374348", "Linke kec")</f>
        <v>Linke kec</v>
      </c>
    </row>
    <row r="904" spans="1:3" x14ac:dyDescent="0.3">
      <c r="A904" t="s">
        <v>184</v>
      </c>
      <c r="B904" t="s">
        <v>122</v>
      </c>
      <c r="C904" t="str">
        <f>HYPERLINK("https://tap.az/elanlar/neqliyyat/avtomobiller/48373050", "Linke kec")</f>
        <v>Linke kec</v>
      </c>
    </row>
    <row r="905" spans="1:3" x14ac:dyDescent="0.3">
      <c r="A905" t="s">
        <v>216</v>
      </c>
      <c r="B905" t="s">
        <v>332</v>
      </c>
      <c r="C905" t="str">
        <f>HYPERLINK("https://tap.az/elanlar/neqliyyat/avtomobiller/48372246", "Linke kec")</f>
        <v>Linke kec</v>
      </c>
    </row>
    <row r="906" spans="1:3" x14ac:dyDescent="0.3">
      <c r="A906" t="s">
        <v>549</v>
      </c>
      <c r="B906" t="s">
        <v>295</v>
      </c>
      <c r="C906" t="str">
        <f>HYPERLINK("https://tap.az/elanlar/neqliyyat/avtomobiller/48372113", "Linke kec")</f>
        <v>Linke kec</v>
      </c>
    </row>
    <row r="907" spans="1:3" x14ac:dyDescent="0.3">
      <c r="A907" t="s">
        <v>632</v>
      </c>
      <c r="B907" t="s">
        <v>633</v>
      </c>
      <c r="C907" t="str">
        <f>HYPERLINK("https://tap.az/elanlar/neqliyyat/avtomobiller/48371311", "Linke kec")</f>
        <v>Linke kec</v>
      </c>
    </row>
    <row r="908" spans="1:3" x14ac:dyDescent="0.3">
      <c r="A908" t="s">
        <v>33</v>
      </c>
      <c r="B908" t="s">
        <v>358</v>
      </c>
      <c r="C908" t="str">
        <f>HYPERLINK("https://tap.az/elanlar/neqliyyat/avtomobiller/45984467", "Linke kec")</f>
        <v>Linke kec</v>
      </c>
    </row>
    <row r="909" spans="1:3" x14ac:dyDescent="0.3">
      <c r="A909" t="s">
        <v>45</v>
      </c>
      <c r="B909" t="s">
        <v>207</v>
      </c>
      <c r="C909" t="str">
        <f>HYPERLINK("https://tap.az/elanlar/neqliyyat/avtomobiller/48370990", "Linke kec")</f>
        <v>Linke kec</v>
      </c>
    </row>
    <row r="910" spans="1:3" x14ac:dyDescent="0.3">
      <c r="A910" t="s">
        <v>397</v>
      </c>
      <c r="B910" t="s">
        <v>127</v>
      </c>
      <c r="C910" t="str">
        <f>HYPERLINK("https://tap.az/elanlar/neqliyyat/avtomobiller/48370925", "Linke kec")</f>
        <v>Linke kec</v>
      </c>
    </row>
    <row r="911" spans="1:3" x14ac:dyDescent="0.3">
      <c r="A911" t="s">
        <v>113</v>
      </c>
      <c r="B911" t="s">
        <v>156</v>
      </c>
      <c r="C911" t="str">
        <f>HYPERLINK("https://tap.az/elanlar/neqliyyat/avtomobiller/48370452", "Linke kec")</f>
        <v>Linke kec</v>
      </c>
    </row>
    <row r="912" spans="1:3" x14ac:dyDescent="0.3">
      <c r="A912" t="s">
        <v>634</v>
      </c>
      <c r="B912" t="s">
        <v>143</v>
      </c>
      <c r="C912" t="str">
        <f>HYPERLINK("https://tap.az/elanlar/neqliyyat/avtomobiller/47938262", "Linke kec")</f>
        <v>Linke kec</v>
      </c>
    </row>
    <row r="913" spans="1:3" x14ac:dyDescent="0.3">
      <c r="A913" t="s">
        <v>635</v>
      </c>
      <c r="B913" t="s">
        <v>448</v>
      </c>
      <c r="C913" t="str">
        <f>HYPERLINK("https://tap.az/elanlar/neqliyyat/avtomobiller/48369695", "Linke kec")</f>
        <v>Linke kec</v>
      </c>
    </row>
    <row r="914" spans="1:3" x14ac:dyDescent="0.3">
      <c r="A914" t="s">
        <v>184</v>
      </c>
      <c r="B914" t="s">
        <v>199</v>
      </c>
      <c r="C914" t="str">
        <f>HYPERLINK("https://tap.az/elanlar/neqliyyat/avtomobiller/48369652", "Linke kec")</f>
        <v>Linke kec</v>
      </c>
    </row>
    <row r="915" spans="1:3" x14ac:dyDescent="0.3">
      <c r="A915" t="s">
        <v>408</v>
      </c>
      <c r="B915" t="s">
        <v>458</v>
      </c>
      <c r="C915" t="str">
        <f>HYPERLINK("https://tap.az/elanlar/neqliyyat/avtomobiller/48369482", "Linke kec")</f>
        <v>Linke kec</v>
      </c>
    </row>
    <row r="916" spans="1:3" x14ac:dyDescent="0.3">
      <c r="A916" t="s">
        <v>301</v>
      </c>
      <c r="B916" t="s">
        <v>14</v>
      </c>
      <c r="C916" t="str">
        <f>HYPERLINK("https://tap.az/elanlar/neqliyyat/avtomobiller/48111728", "Linke kec")</f>
        <v>Linke kec</v>
      </c>
    </row>
    <row r="917" spans="1:3" x14ac:dyDescent="0.3">
      <c r="A917" t="s">
        <v>251</v>
      </c>
      <c r="B917" t="s">
        <v>93</v>
      </c>
      <c r="C917" t="str">
        <f>HYPERLINK("https://tap.az/elanlar/neqliyyat/avtomobiller/48339553", "Linke kec")</f>
        <v>Linke kec</v>
      </c>
    </row>
    <row r="918" spans="1:3" x14ac:dyDescent="0.3">
      <c r="A918" t="s">
        <v>136</v>
      </c>
      <c r="B918" t="s">
        <v>295</v>
      </c>
      <c r="C918" t="str">
        <f>HYPERLINK("https://tap.az/elanlar/neqliyyat/avtomobiller/48290624", "Linke kec")</f>
        <v>Linke kec</v>
      </c>
    </row>
    <row r="919" spans="1:3" x14ac:dyDescent="0.3">
      <c r="A919" t="s">
        <v>77</v>
      </c>
      <c r="B919" t="s">
        <v>207</v>
      </c>
      <c r="C919" t="str">
        <f>HYPERLINK("https://tap.az/elanlar/neqliyyat/avtomobiller/47912679", "Linke kec")</f>
        <v>Linke kec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2026-09-06T19:04:33Z</dcterms:created>
  <dcterms:modified xsi:type="dcterms:W3CDTF">2026-09-06T19:22:11Z</dcterms:modified>
</cp:coreProperties>
</file>